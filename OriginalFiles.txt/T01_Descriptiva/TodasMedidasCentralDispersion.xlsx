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0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ALF/Dropbox/UGR/TEACHING/Fisioterapia/Fisioterapia2324/TemasTeoria/T01_Descriptiva/"/>
    </mc:Choice>
  </mc:AlternateContent>
  <xr:revisionPtr revIDLastSave="0" documentId="8_{7EC62C34-4678-D946-812D-FEB49C52A2AF}" xr6:coauthVersionLast="47" xr6:coauthVersionMax="47" xr10:uidLastSave="{00000000-0000-0000-0000-000000000000}"/>
  <bookViews>
    <workbookView xWindow="0" yWindow="500" windowWidth="40960" windowHeight="21480" xr2:uid="{2CBBE949-2730-4EC8-BBDF-BAC349173473}"/>
  </bookViews>
  <sheets>
    <sheet name="Medidas central y dispersión" sheetId="1" r:id="rId1"/>
    <sheet name="Medidas de dispersión tabla" sheetId="2" r:id="rId2"/>
    <sheet name="Gráfico de sectores" sheetId="3" r:id="rId3"/>
    <sheet name="Gráfica Barras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4" i="2" l="1"/>
  <c r="H14" i="2"/>
  <c r="J8" i="2"/>
  <c r="I9" i="2"/>
  <c r="J9" i="2" s="1"/>
  <c r="I5" i="2"/>
  <c r="J5" i="2" s="1"/>
  <c r="I6" i="2"/>
  <c r="J6" i="2" s="1"/>
  <c r="I7" i="2"/>
  <c r="J7" i="2" s="1"/>
  <c r="I8" i="2"/>
  <c r="I4" i="2"/>
  <c r="J4" i="2" s="1"/>
  <c r="H4" i="2"/>
  <c r="G4" i="2"/>
  <c r="G5" i="2" s="1"/>
  <c r="G6" i="2" s="1"/>
  <c r="G7" i="2" s="1"/>
  <c r="G8" i="2" s="1"/>
  <c r="G9" i="2" s="1"/>
  <c r="F6" i="2"/>
  <c r="F7" i="2"/>
  <c r="F8" i="2"/>
  <c r="F4" i="2"/>
  <c r="D10" i="2"/>
  <c r="F9" i="2" s="1"/>
  <c r="E5" i="2"/>
  <c r="E6" i="2"/>
  <c r="E7" i="2"/>
  <c r="H17" i="2" s="1"/>
  <c r="E8" i="2"/>
  <c r="H18" i="2" s="1"/>
  <c r="I18" i="2" s="1"/>
  <c r="E9" i="2"/>
  <c r="E4" i="2"/>
  <c r="I15" i="2" l="1"/>
  <c r="H16" i="2"/>
  <c r="I16" i="2" s="1"/>
  <c r="H15" i="2"/>
  <c r="F5" i="2"/>
  <c r="H5" i="2" s="1"/>
  <c r="H6" i="2" s="1"/>
  <c r="H7" i="2" s="1"/>
  <c r="H8" i="2" s="1"/>
  <c r="H9" i="2" s="1"/>
  <c r="H19" i="2"/>
  <c r="I19" i="2" s="1"/>
  <c r="I17" i="2"/>
  <c r="H23" i="1"/>
  <c r="H22" i="1"/>
  <c r="H18" i="1"/>
  <c r="H19" i="1" s="1"/>
  <c r="H15" i="1"/>
  <c r="H12" i="1"/>
  <c r="H11" i="1"/>
  <c r="H8" i="1"/>
  <c r="H17" i="1" s="1"/>
  <c r="H7" i="1"/>
  <c r="H5" i="1"/>
  <c r="H6" i="1"/>
  <c r="H4" i="1"/>
  <c r="H20" i="2" l="1"/>
  <c r="D13" i="2" s="1"/>
  <c r="I20" i="2"/>
  <c r="D14" i="2" s="1"/>
  <c r="D15" i="2" s="1"/>
</calcChain>
</file>

<file path=xl/sharedStrings.xml><?xml version="1.0" encoding="utf-8"?>
<sst xmlns="http://schemas.openxmlformats.org/spreadsheetml/2006/main" count="262" uniqueCount="252">
  <si>
    <t>Tiempo (minutos)</t>
  </si>
  <si>
    <t>Extrem. Sup.</t>
  </si>
  <si>
    <t>Extremo Inf.</t>
  </si>
  <si>
    <t>fi</t>
  </si>
  <si>
    <t>id_001</t>
  </si>
  <si>
    <t>id_002</t>
  </si>
  <si>
    <t>id_003</t>
  </si>
  <si>
    <t>id_004</t>
  </si>
  <si>
    <t>id_005</t>
  </si>
  <si>
    <t>id_006</t>
  </si>
  <si>
    <t>id_007</t>
  </si>
  <si>
    <t>id_008</t>
  </si>
  <si>
    <t>id_009</t>
  </si>
  <si>
    <t>id_010</t>
  </si>
  <si>
    <t>id_011</t>
  </si>
  <si>
    <t>id_012</t>
  </si>
  <si>
    <t>id_013</t>
  </si>
  <si>
    <t>id_014</t>
  </si>
  <si>
    <t>id_015</t>
  </si>
  <si>
    <t>id_016</t>
  </si>
  <si>
    <t>id_017</t>
  </si>
  <si>
    <t>id_018</t>
  </si>
  <si>
    <t>id_019</t>
  </si>
  <si>
    <t>id_020</t>
  </si>
  <si>
    <t>id_021</t>
  </si>
  <si>
    <t>id_022</t>
  </si>
  <si>
    <t>id_023</t>
  </si>
  <si>
    <t>id_024</t>
  </si>
  <si>
    <t>id_025</t>
  </si>
  <si>
    <t>id_026</t>
  </si>
  <si>
    <t>id_027</t>
  </si>
  <si>
    <t>id_028</t>
  </si>
  <si>
    <t>id_029</t>
  </si>
  <si>
    <t>id_030</t>
  </si>
  <si>
    <t>id_031</t>
  </si>
  <si>
    <t>id_032</t>
  </si>
  <si>
    <t>id_033</t>
  </si>
  <si>
    <t>id_034</t>
  </si>
  <si>
    <t>id_035</t>
  </si>
  <si>
    <t>id_036</t>
  </si>
  <si>
    <t>id_037</t>
  </si>
  <si>
    <t>id_038</t>
  </si>
  <si>
    <t>id_039</t>
  </si>
  <si>
    <t>id_040</t>
  </si>
  <si>
    <t>id_041</t>
  </si>
  <si>
    <t>id_042</t>
  </si>
  <si>
    <t>id_043</t>
  </si>
  <si>
    <t>id_044</t>
  </si>
  <si>
    <t>id_045</t>
  </si>
  <si>
    <t>id_046</t>
  </si>
  <si>
    <t>id_047</t>
  </si>
  <si>
    <t>id_048</t>
  </si>
  <si>
    <t>id_049</t>
  </si>
  <si>
    <t>id_050</t>
  </si>
  <si>
    <t>id_051</t>
  </si>
  <si>
    <t>id_052</t>
  </si>
  <si>
    <t>id_053</t>
  </si>
  <si>
    <t>id_054</t>
  </si>
  <si>
    <t>id_055</t>
  </si>
  <si>
    <t>id_056</t>
  </si>
  <si>
    <t>id_057</t>
  </si>
  <si>
    <t>id_058</t>
  </si>
  <si>
    <t>id_059</t>
  </si>
  <si>
    <t>id_060</t>
  </si>
  <si>
    <t>id_061</t>
  </si>
  <si>
    <t>id_062</t>
  </si>
  <si>
    <t>id_063</t>
  </si>
  <si>
    <t>id_064</t>
  </si>
  <si>
    <t>id_065</t>
  </si>
  <si>
    <t>id_066</t>
  </si>
  <si>
    <t>id_067</t>
  </si>
  <si>
    <t>id_068</t>
  </si>
  <si>
    <t>id_069</t>
  </si>
  <si>
    <t>id_070</t>
  </si>
  <si>
    <t>id_071</t>
  </si>
  <si>
    <t>id_072</t>
  </si>
  <si>
    <t>id_073</t>
  </si>
  <si>
    <t>id_074</t>
  </si>
  <si>
    <t>id_075</t>
  </si>
  <si>
    <t>id_076</t>
  </si>
  <si>
    <t>id_077</t>
  </si>
  <si>
    <t>id_078</t>
  </si>
  <si>
    <t>id_079</t>
  </si>
  <si>
    <t>id_080</t>
  </si>
  <si>
    <t>id_081</t>
  </si>
  <si>
    <t>id_082</t>
  </si>
  <si>
    <t>id_083</t>
  </si>
  <si>
    <t>id_084</t>
  </si>
  <si>
    <t>id_085</t>
  </si>
  <si>
    <t>id_086</t>
  </si>
  <si>
    <t>id_087</t>
  </si>
  <si>
    <t>id_088</t>
  </si>
  <si>
    <t>id_089</t>
  </si>
  <si>
    <t>id_090</t>
  </si>
  <si>
    <t>id_091</t>
  </si>
  <si>
    <t>id_092</t>
  </si>
  <si>
    <t>id_093</t>
  </si>
  <si>
    <t>id_094</t>
  </si>
  <si>
    <t>id_095</t>
  </si>
  <si>
    <t>id_096</t>
  </si>
  <si>
    <t>id_097</t>
  </si>
  <si>
    <t>id_098</t>
  </si>
  <si>
    <t>id_099</t>
  </si>
  <si>
    <t>id_100</t>
  </si>
  <si>
    <t>id_101</t>
  </si>
  <si>
    <t>id_102</t>
  </si>
  <si>
    <t>id_103</t>
  </si>
  <si>
    <t>id_104</t>
  </si>
  <si>
    <t>id_105</t>
  </si>
  <si>
    <t>id_106</t>
  </si>
  <si>
    <t>id_107</t>
  </si>
  <si>
    <t>id_108</t>
  </si>
  <si>
    <t>id_109</t>
  </si>
  <si>
    <t>id_110</t>
  </si>
  <si>
    <t>id_111</t>
  </si>
  <si>
    <t>id_112</t>
  </si>
  <si>
    <t>id_113</t>
  </si>
  <si>
    <t>id_114</t>
  </si>
  <si>
    <t>id_115</t>
  </si>
  <si>
    <t>id_116</t>
  </si>
  <si>
    <t>id_117</t>
  </si>
  <si>
    <t>id_118</t>
  </si>
  <si>
    <t>id_119</t>
  </si>
  <si>
    <t>id_120</t>
  </si>
  <si>
    <t>id_121</t>
  </si>
  <si>
    <t>id_122</t>
  </si>
  <si>
    <t>id_123</t>
  </si>
  <si>
    <t>id_124</t>
  </si>
  <si>
    <t>id_125</t>
  </si>
  <si>
    <t>id_126</t>
  </si>
  <si>
    <t>id_127</t>
  </si>
  <si>
    <t>id_128</t>
  </si>
  <si>
    <t>id_129</t>
  </si>
  <si>
    <t>id_130</t>
  </si>
  <si>
    <t>id_131</t>
  </si>
  <si>
    <t>id_132</t>
  </si>
  <si>
    <t>id_133</t>
  </si>
  <si>
    <t>id_134</t>
  </si>
  <si>
    <t>id_135</t>
  </si>
  <si>
    <t>id_136</t>
  </si>
  <si>
    <t>id_137</t>
  </si>
  <si>
    <t>id_138</t>
  </si>
  <si>
    <t>id_139</t>
  </si>
  <si>
    <t>id_140</t>
  </si>
  <si>
    <t>id_141</t>
  </si>
  <si>
    <t>id_142</t>
  </si>
  <si>
    <t>id_143</t>
  </si>
  <si>
    <t>id_144</t>
  </si>
  <si>
    <t>id_145</t>
  </si>
  <si>
    <t>id_146</t>
  </si>
  <si>
    <t>id_147</t>
  </si>
  <si>
    <t>id_148</t>
  </si>
  <si>
    <t>id_149</t>
  </si>
  <si>
    <t>id_150</t>
  </si>
  <si>
    <t>id_151</t>
  </si>
  <si>
    <t>id_152</t>
  </si>
  <si>
    <t>id_153</t>
  </si>
  <si>
    <t>id_154</t>
  </si>
  <si>
    <t>id_155</t>
  </si>
  <si>
    <t>id_156</t>
  </si>
  <si>
    <t>id_157</t>
  </si>
  <si>
    <t>id_158</t>
  </si>
  <si>
    <t>id_159</t>
  </si>
  <si>
    <t>id_160</t>
  </si>
  <si>
    <t>id_161</t>
  </si>
  <si>
    <t>id_162</t>
  </si>
  <si>
    <t>id_163</t>
  </si>
  <si>
    <t>id_164</t>
  </si>
  <si>
    <t>id_165</t>
  </si>
  <si>
    <t>id_166</t>
  </si>
  <si>
    <t>id_167</t>
  </si>
  <si>
    <t>id_168</t>
  </si>
  <si>
    <t>id_169</t>
  </si>
  <si>
    <t>id_170</t>
  </si>
  <si>
    <t>id_171</t>
  </si>
  <si>
    <t>id_172</t>
  </si>
  <si>
    <t>id_173</t>
  </si>
  <si>
    <t>id_174</t>
  </si>
  <si>
    <t>id_175</t>
  </si>
  <si>
    <t>id_176</t>
  </si>
  <si>
    <t>id_177</t>
  </si>
  <si>
    <t>id_178</t>
  </si>
  <si>
    <t>id_179</t>
  </si>
  <si>
    <t>id_180</t>
  </si>
  <si>
    <t>id_181</t>
  </si>
  <si>
    <t>id_182</t>
  </si>
  <si>
    <t>id_183</t>
  </si>
  <si>
    <t>id_184</t>
  </si>
  <si>
    <t>id_185</t>
  </si>
  <si>
    <t>id_186</t>
  </si>
  <si>
    <t>id_187</t>
  </si>
  <si>
    <t>id_188</t>
  </si>
  <si>
    <t>id_189</t>
  </si>
  <si>
    <t>id_190</t>
  </si>
  <si>
    <t>id_191</t>
  </si>
  <si>
    <t>id_192</t>
  </si>
  <si>
    <t>id_193</t>
  </si>
  <si>
    <t>id_194</t>
  </si>
  <si>
    <t>id_195</t>
  </si>
  <si>
    <t>id_196</t>
  </si>
  <si>
    <t>id_197</t>
  </si>
  <si>
    <t>id_198</t>
  </si>
  <si>
    <t>id_199</t>
  </si>
  <si>
    <t>id_200</t>
  </si>
  <si>
    <t>Situación laboral</t>
  </si>
  <si>
    <t>No asalariados</t>
  </si>
  <si>
    <t>Asalariados: Indefinido a tiempo completo</t>
  </si>
  <si>
    <t>Asalariados: Indefinido a tiempo parcial</t>
  </si>
  <si>
    <t>Asalariados:Temporal a tiempo parcial</t>
  </si>
  <si>
    <t>Asalariados: Temporal a tiempo completo</t>
  </si>
  <si>
    <t>Interés en la práctica de deporte</t>
  </si>
  <si>
    <t>a)</t>
  </si>
  <si>
    <t>Media</t>
  </si>
  <si>
    <t>Moda</t>
  </si>
  <si>
    <t>Q1</t>
  </si>
  <si>
    <t>Q3</t>
  </si>
  <si>
    <t>b)</t>
  </si>
  <si>
    <t>Percentil 10</t>
  </si>
  <si>
    <t>Percentil 90</t>
  </si>
  <si>
    <t xml:space="preserve">c) </t>
  </si>
  <si>
    <t xml:space="preserve">Rango </t>
  </si>
  <si>
    <t>Rango intercuartílico</t>
  </si>
  <si>
    <t>Desv.tip.</t>
  </si>
  <si>
    <t>CV</t>
  </si>
  <si>
    <t>d)</t>
  </si>
  <si>
    <t>Asimetría</t>
  </si>
  <si>
    <t>Curtosis</t>
  </si>
  <si>
    <t>Error típico</t>
  </si>
  <si>
    <t>Mediana</t>
  </si>
  <si>
    <t>Desviación estándar</t>
  </si>
  <si>
    <t>Varianza de la muestra</t>
  </si>
  <si>
    <t>Coeficiente de asimetría</t>
  </si>
  <si>
    <t>Rango</t>
  </si>
  <si>
    <t>Mínimo</t>
  </si>
  <si>
    <t>Máximo</t>
  </si>
  <si>
    <t>Suma</t>
  </si>
  <si>
    <t>Cuenta</t>
  </si>
  <si>
    <t>e)</t>
  </si>
  <si>
    <t>Clase</t>
  </si>
  <si>
    <t>y mayor...</t>
  </si>
  <si>
    <t>Frecuencia</t>
  </si>
  <si>
    <t>xi</t>
  </si>
  <si>
    <t>hi</t>
  </si>
  <si>
    <t>Fi</t>
  </si>
  <si>
    <t>Hi</t>
  </si>
  <si>
    <t>ai</t>
  </si>
  <si>
    <t>di</t>
  </si>
  <si>
    <t>xi*fi</t>
  </si>
  <si>
    <t>xi^2*fi</t>
  </si>
  <si>
    <t>Desv.tip</t>
  </si>
  <si>
    <t>ID_paciente</t>
  </si>
  <si>
    <t>Tiempo recuperación fascitis (meses)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</si>
</sst>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 tint="0.39997558519241921"/>
        <bgColor indexed="64"/>
      </patternFill>
    </fill>
  </fills>
  <borders count="2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45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1" fillId="2" borderId="10" xfId="0" applyFont="1" applyFill="1" applyBorder="1" applyAlignment="1">
      <alignment horizontal="center" vertical="center"/>
    </xf>
    <xf numFmtId="0" fontId="1" fillId="2" borderId="11" xfId="0" applyFont="1" applyFill="1" applyBorder="1" applyAlignment="1">
      <alignment horizontal="center" vertical="center"/>
    </xf>
    <xf numFmtId="0" fontId="1" fillId="2" borderId="12" xfId="0" applyFont="1" applyFill="1" applyBorder="1" applyAlignment="1">
      <alignment horizontal="center" vertical="center"/>
    </xf>
    <xf numFmtId="0" fontId="1" fillId="2" borderId="0" xfId="0" applyFont="1" applyFill="1"/>
    <xf numFmtId="0" fontId="0" fillId="0" borderId="2" xfId="0" applyBorder="1" applyAlignment="1">
      <alignment wrapText="1"/>
    </xf>
    <xf numFmtId="0" fontId="0" fillId="0" borderId="4" xfId="0" applyBorder="1" applyAlignment="1">
      <alignment wrapText="1"/>
    </xf>
    <xf numFmtId="0" fontId="0" fillId="0" borderId="7" xfId="0" applyBorder="1" applyAlignment="1">
      <alignment wrapText="1"/>
    </xf>
    <xf numFmtId="0" fontId="0" fillId="0" borderId="7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1" fillId="2" borderId="10" xfId="0" applyFont="1" applyFill="1" applyBorder="1" applyAlignment="1">
      <alignment horizontal="center" vertical="center" wrapText="1"/>
    </xf>
    <xf numFmtId="0" fontId="1" fillId="0" borderId="0" xfId="0" applyFont="1"/>
    <xf numFmtId="0" fontId="0" fillId="0" borderId="13" xfId="0" applyBorder="1"/>
    <xf numFmtId="0" fontId="3" fillId="0" borderId="14" xfId="0" applyFont="1" applyBorder="1" applyAlignment="1">
      <alignment horizontal="center"/>
    </xf>
    <xf numFmtId="0" fontId="3" fillId="0" borderId="14" xfId="0" applyFont="1" applyBorder="1" applyAlignment="1">
      <alignment horizontal="centerContinuous"/>
    </xf>
    <xf numFmtId="0" fontId="1" fillId="2" borderId="15" xfId="0" applyFont="1" applyFill="1" applyBorder="1" applyAlignment="1">
      <alignment horizontal="center" vertical="center"/>
    </xf>
    <xf numFmtId="0" fontId="0" fillId="0" borderId="16" xfId="0" applyBorder="1"/>
    <xf numFmtId="0" fontId="0" fillId="0" borderId="17" xfId="0" applyBorder="1"/>
    <xf numFmtId="0" fontId="0" fillId="0" borderId="18" xfId="0" applyBorder="1"/>
    <xf numFmtId="0" fontId="1" fillId="2" borderId="20" xfId="0" applyFont="1" applyFill="1" applyBorder="1" applyAlignment="1">
      <alignment horizontal="center" vertical="center"/>
    </xf>
    <xf numFmtId="0" fontId="1" fillId="2" borderId="21" xfId="0" applyFont="1" applyFill="1" applyBorder="1" applyAlignment="1">
      <alignment horizontal="center" vertical="center"/>
    </xf>
    <xf numFmtId="0" fontId="0" fillId="3" borderId="1" xfId="0" applyFill="1" applyBorder="1"/>
    <xf numFmtId="0" fontId="0" fillId="3" borderId="3" xfId="0" applyFill="1" applyBorder="1"/>
    <xf numFmtId="0" fontId="0" fillId="3" borderId="5" xfId="0" applyFill="1" applyBorder="1"/>
    <xf numFmtId="0" fontId="0" fillId="3" borderId="6" xfId="0" applyFill="1" applyBorder="1"/>
    <xf numFmtId="0" fontId="0" fillId="2" borderId="22" xfId="0" applyFill="1" applyBorder="1"/>
    <xf numFmtId="0" fontId="0" fillId="2" borderId="21" xfId="0" applyFill="1" applyBorder="1"/>
    <xf numFmtId="0" fontId="0" fillId="3" borderId="2" xfId="0" applyFill="1" applyBorder="1"/>
    <xf numFmtId="0" fontId="0" fillId="3" borderId="23" xfId="0" applyFill="1" applyBorder="1"/>
    <xf numFmtId="0" fontId="0" fillId="3" borderId="24" xfId="0" applyFill="1" applyBorder="1"/>
    <xf numFmtId="0" fontId="0" fillId="4" borderId="10" xfId="0" applyFill="1" applyBorder="1"/>
    <xf numFmtId="0" fontId="0" fillId="4" borderId="12" xfId="0" applyFill="1" applyBorder="1"/>
    <xf numFmtId="0" fontId="0" fillId="4" borderId="19" xfId="0" applyFill="1" applyBorder="1"/>
    <xf numFmtId="0" fontId="1" fillId="0" borderId="0" xfId="0" applyFont="1" applyAlignment="1">
      <alignment horizontal="left" wrapText="1"/>
    </xf>
    <xf numFmtId="0" fontId="1" fillId="2" borderId="0" xfId="0" applyFont="1" applyFill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s-ES"/>
              <a:t>Histograma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Frecuencia</c:v>
          </c:tx>
          <c:invertIfNegative val="0"/>
          <c:cat>
            <c:strRef>
              <c:f>'Medidas central y dispersión'!$G$28:$G$42</c:f>
              <c:strCache>
                <c:ptCount val="15"/>
                <c:pt idx="0">
                  <c:v>3.2</c:v>
                </c:pt>
                <c:pt idx="1">
                  <c:v>3.35</c:v>
                </c:pt>
                <c:pt idx="2">
                  <c:v>3.5</c:v>
                </c:pt>
                <c:pt idx="3">
                  <c:v>3.65</c:v>
                </c:pt>
                <c:pt idx="4">
                  <c:v>3.8</c:v>
                </c:pt>
                <c:pt idx="5">
                  <c:v>3.95</c:v>
                </c:pt>
                <c:pt idx="6">
                  <c:v>4.1</c:v>
                </c:pt>
                <c:pt idx="7">
                  <c:v>4.25</c:v>
                </c:pt>
                <c:pt idx="8">
                  <c:v>4.4</c:v>
                </c:pt>
                <c:pt idx="9">
                  <c:v>4.55</c:v>
                </c:pt>
                <c:pt idx="10">
                  <c:v>4.7</c:v>
                </c:pt>
                <c:pt idx="11">
                  <c:v>4.85</c:v>
                </c:pt>
                <c:pt idx="12">
                  <c:v>5</c:v>
                </c:pt>
                <c:pt idx="13">
                  <c:v>5.15</c:v>
                </c:pt>
                <c:pt idx="14">
                  <c:v>y mayor...</c:v>
                </c:pt>
              </c:strCache>
            </c:strRef>
          </c:cat>
          <c:val>
            <c:numRef>
              <c:f>'Medidas central y dispersión'!$H$28:$H$42</c:f>
              <c:numCache>
                <c:formatCode>General</c:formatCode>
                <c:ptCount val="15"/>
                <c:pt idx="0">
                  <c:v>1</c:v>
                </c:pt>
                <c:pt idx="1">
                  <c:v>3</c:v>
                </c:pt>
                <c:pt idx="2">
                  <c:v>6</c:v>
                </c:pt>
                <c:pt idx="3">
                  <c:v>11</c:v>
                </c:pt>
                <c:pt idx="4">
                  <c:v>43</c:v>
                </c:pt>
                <c:pt idx="5">
                  <c:v>24</c:v>
                </c:pt>
                <c:pt idx="6">
                  <c:v>44</c:v>
                </c:pt>
                <c:pt idx="7">
                  <c:v>25</c:v>
                </c:pt>
                <c:pt idx="8">
                  <c:v>24</c:v>
                </c:pt>
                <c:pt idx="9">
                  <c:v>5</c:v>
                </c:pt>
                <c:pt idx="10">
                  <c:v>3</c:v>
                </c:pt>
                <c:pt idx="11">
                  <c:v>4</c:v>
                </c:pt>
                <c:pt idx="12">
                  <c:v>2</c:v>
                </c:pt>
                <c:pt idx="13">
                  <c:v>2</c:v>
                </c:pt>
                <c:pt idx="14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CBB-4721-8E8B-D1C2EE8573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axId val="621168511"/>
        <c:axId val="621163935"/>
      </c:barChart>
      <c:catAx>
        <c:axId val="62116851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s-ES"/>
                  <a:t>Clase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621163935"/>
        <c:crosses val="autoZero"/>
        <c:auto val="1"/>
        <c:lblAlgn val="ctr"/>
        <c:lblOffset val="100"/>
        <c:noMultiLvlLbl val="0"/>
      </c:catAx>
      <c:valAx>
        <c:axId val="621163935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s-ES"/>
                  <a:t>Frecuencia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621168511"/>
        <c:crosses val="autoZero"/>
        <c:crossBetween val="between"/>
      </c:valAx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'Gráfico de sectores'!$B$1</c:f>
              <c:strCache>
                <c:ptCount val="1"/>
                <c:pt idx="0">
                  <c:v>fi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6849-C446-9CC2-0D9CC58A01F8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6849-C446-9CC2-0D9CC58A01F8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6849-C446-9CC2-0D9CC58A01F8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6849-C446-9CC2-0D9CC58A01F8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6849-C446-9CC2-0D9CC58A01F8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'Gráfico de sectores'!$A$2:$A$6</c:f>
              <c:strCache>
                <c:ptCount val="5"/>
                <c:pt idx="0">
                  <c:v>No asalariados</c:v>
                </c:pt>
                <c:pt idx="1">
                  <c:v>Asalariados: Indefinido a tiempo parcial</c:v>
                </c:pt>
                <c:pt idx="2">
                  <c:v>Asalariados: Indefinido a tiempo completo</c:v>
                </c:pt>
                <c:pt idx="3">
                  <c:v>Asalariados:Temporal a tiempo parcial</c:v>
                </c:pt>
                <c:pt idx="4">
                  <c:v>Asalariados: Temporal a tiempo completo</c:v>
                </c:pt>
              </c:strCache>
            </c:strRef>
          </c:cat>
          <c:val>
            <c:numRef>
              <c:f>'Gráfico de sectores'!$B$2:$B$6</c:f>
              <c:numCache>
                <c:formatCode>General</c:formatCode>
                <c:ptCount val="5"/>
                <c:pt idx="0">
                  <c:v>35010</c:v>
                </c:pt>
                <c:pt idx="1">
                  <c:v>92630</c:v>
                </c:pt>
                <c:pt idx="2">
                  <c:v>114324</c:v>
                </c:pt>
                <c:pt idx="3">
                  <c:v>34230</c:v>
                </c:pt>
                <c:pt idx="4">
                  <c:v>65126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2D4-48B1-B589-7C7EF63E112A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/>
              <a:t>Diagrama</a:t>
            </a:r>
            <a:r>
              <a:rPr lang="es-ES" baseline="0"/>
              <a:t> de barras</a:t>
            </a:r>
            <a:endParaRPr lang="es-E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'Gráfica Barras'!$A$2:$A$6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numCache>
            </c:numRef>
          </c:cat>
          <c:val>
            <c:numRef>
              <c:f>'Gráfica Barras'!$B$2:$B$6</c:f>
              <c:numCache>
                <c:formatCode>General</c:formatCode>
                <c:ptCount val="5"/>
                <c:pt idx="0">
                  <c:v>102</c:v>
                </c:pt>
                <c:pt idx="1">
                  <c:v>185</c:v>
                </c:pt>
                <c:pt idx="2">
                  <c:v>214</c:v>
                </c:pt>
                <c:pt idx="3">
                  <c:v>652</c:v>
                </c:pt>
                <c:pt idx="4">
                  <c:v>137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B8B-4C57-B462-F59CDA15CC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11200415"/>
        <c:axId val="811187519"/>
      </c:barChart>
      <c:catAx>
        <c:axId val="8112004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1187519"/>
        <c:crosses val="autoZero"/>
        <c:auto val="1"/>
        <c:lblAlgn val="ctr"/>
        <c:lblOffset val="100"/>
        <c:noMultiLvlLbl val="0"/>
      </c:catAx>
      <c:valAx>
        <c:axId val="8111875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120041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22224</xdr:colOff>
      <xdr:row>25</xdr:row>
      <xdr:rowOff>190500</xdr:rowOff>
    </xdr:from>
    <xdr:to>
      <xdr:col>16</xdr:col>
      <xdr:colOff>317500</xdr:colOff>
      <xdr:row>49</xdr:row>
      <xdr:rowOff>114299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84E871FE-1672-39DF-B701-71A113594C8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100012</xdr:colOff>
      <xdr:row>5</xdr:row>
      <xdr:rowOff>0</xdr:rowOff>
    </xdr:from>
    <xdr:to>
      <xdr:col>12</xdr:col>
      <xdr:colOff>100012</xdr:colOff>
      <xdr:row>17</xdr:row>
      <xdr:rowOff>66675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F43AB28-5D32-ED9C-246C-A2BB973B877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42862</xdr:colOff>
      <xdr:row>0</xdr:row>
      <xdr:rowOff>295275</xdr:rowOff>
    </xdr:from>
    <xdr:to>
      <xdr:col>10</xdr:col>
      <xdr:colOff>42862</xdr:colOff>
      <xdr:row>13</xdr:row>
      <xdr:rowOff>161925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721BE4AE-6E08-1BEE-E453-B008F3DAD78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05BA5E-CB85-4C35-95DE-AB18148CDDFB}">
  <dimension ref="A1:L201"/>
  <sheetViews>
    <sheetView tabSelected="1" workbookViewId="0">
      <selection activeCell="S31" sqref="S31"/>
    </sheetView>
  </sheetViews>
  <sheetFormatPr baseColWidth="10" defaultRowHeight="15" x14ac:dyDescent="0.2"/>
  <cols>
    <col min="2" max="2" width="40.33203125" customWidth="1"/>
    <col min="3" max="3" width="11.83203125" bestFit="1" customWidth="1"/>
    <col min="7" max="7" width="13.6640625" customWidth="1"/>
    <col min="11" max="11" width="17.6640625" customWidth="1"/>
    <col min="12" max="12" width="15.83203125" customWidth="1"/>
  </cols>
  <sheetData>
    <row r="1" spans="1:12" x14ac:dyDescent="0.2">
      <c r="A1" s="13" t="s">
        <v>250</v>
      </c>
      <c r="B1" s="44" t="s">
        <v>251</v>
      </c>
    </row>
    <row r="2" spans="1:12" x14ac:dyDescent="0.2">
      <c r="A2" t="s">
        <v>4</v>
      </c>
      <c r="B2">
        <v>3.8</v>
      </c>
    </row>
    <row r="3" spans="1:12" x14ac:dyDescent="0.2">
      <c r="A3" t="s">
        <v>5</v>
      </c>
      <c r="B3">
        <v>3.6</v>
      </c>
    </row>
    <row r="4" spans="1:12" ht="16" thickBot="1" x14ac:dyDescent="0.25">
      <c r="A4" t="s">
        <v>6</v>
      </c>
      <c r="B4">
        <v>3.4</v>
      </c>
      <c r="F4" t="s">
        <v>211</v>
      </c>
      <c r="G4" s="21" t="s">
        <v>212</v>
      </c>
      <c r="H4">
        <f>AVERAGE(B2:B201)</f>
        <v>4.0360000000000005</v>
      </c>
    </row>
    <row r="5" spans="1:12" x14ac:dyDescent="0.2">
      <c r="A5" t="s">
        <v>7</v>
      </c>
      <c r="B5">
        <v>4.0999999999999996</v>
      </c>
      <c r="G5" s="21" t="s">
        <v>213</v>
      </c>
      <c r="H5">
        <f>MEDIAN(B2:B201)</f>
        <v>4</v>
      </c>
      <c r="K5" s="24" t="s">
        <v>0</v>
      </c>
      <c r="L5" s="24"/>
    </row>
    <row r="6" spans="1:12" x14ac:dyDescent="0.2">
      <c r="A6" t="s">
        <v>8</v>
      </c>
      <c r="B6">
        <v>4.0999999999999996</v>
      </c>
      <c r="G6" s="21" t="s">
        <v>213</v>
      </c>
      <c r="H6">
        <f>MODE(B2:B201)</f>
        <v>3.8</v>
      </c>
    </row>
    <row r="7" spans="1:12" x14ac:dyDescent="0.2">
      <c r="A7" t="s">
        <v>9</v>
      </c>
      <c r="B7">
        <v>3.8</v>
      </c>
      <c r="G7" s="21" t="s">
        <v>214</v>
      </c>
      <c r="H7">
        <f>_xlfn.QUARTILE.INC(B2:B201,1)</f>
        <v>3.8</v>
      </c>
      <c r="K7" t="s">
        <v>212</v>
      </c>
      <c r="L7">
        <v>4.0360000000000005</v>
      </c>
    </row>
    <row r="8" spans="1:12" x14ac:dyDescent="0.2">
      <c r="A8" t="s">
        <v>10</v>
      </c>
      <c r="B8">
        <v>4.2</v>
      </c>
      <c r="G8" s="21" t="s">
        <v>215</v>
      </c>
      <c r="H8">
        <f>_xlfn.QUARTILE.INC(B2:B201,3)</f>
        <v>4.2</v>
      </c>
      <c r="K8" t="s">
        <v>227</v>
      </c>
      <c r="L8">
        <v>2.5480705085579803E-2</v>
      </c>
    </row>
    <row r="9" spans="1:12" x14ac:dyDescent="0.2">
      <c r="A9" t="s">
        <v>11</v>
      </c>
      <c r="B9">
        <v>4.3</v>
      </c>
      <c r="G9" s="21"/>
      <c r="K9" t="s">
        <v>228</v>
      </c>
      <c r="L9">
        <v>4</v>
      </c>
    </row>
    <row r="10" spans="1:12" x14ac:dyDescent="0.2">
      <c r="A10" t="s">
        <v>12</v>
      </c>
      <c r="B10">
        <v>4</v>
      </c>
      <c r="G10" s="21"/>
      <c r="K10" t="s">
        <v>213</v>
      </c>
      <c r="L10">
        <v>3.8</v>
      </c>
    </row>
    <row r="11" spans="1:12" x14ac:dyDescent="0.2">
      <c r="A11" t="s">
        <v>13</v>
      </c>
      <c r="B11">
        <v>4.4000000000000004</v>
      </c>
      <c r="F11" t="s">
        <v>216</v>
      </c>
      <c r="G11" s="21" t="s">
        <v>217</v>
      </c>
      <c r="H11">
        <f>_xlfn.PERCENTILE.INC(B2:B201,0.1)</f>
        <v>3.6</v>
      </c>
      <c r="K11" t="s">
        <v>229</v>
      </c>
      <c r="L11">
        <v>0.36035158710856052</v>
      </c>
    </row>
    <row r="12" spans="1:12" x14ac:dyDescent="0.2">
      <c r="A12" t="s">
        <v>14</v>
      </c>
      <c r="B12">
        <v>4</v>
      </c>
      <c r="G12" s="21" t="s">
        <v>218</v>
      </c>
      <c r="H12">
        <f>_xlfn.PERCENTILE.INC(B2:B201,0.9)</f>
        <v>4.4000000000000004</v>
      </c>
      <c r="K12" t="s">
        <v>230</v>
      </c>
      <c r="L12">
        <v>0.1298532663316585</v>
      </c>
    </row>
    <row r="13" spans="1:12" x14ac:dyDescent="0.2">
      <c r="A13" t="s">
        <v>15</v>
      </c>
      <c r="B13">
        <v>4.5</v>
      </c>
      <c r="G13" s="21"/>
      <c r="K13" t="s">
        <v>226</v>
      </c>
      <c r="L13">
        <v>1.7216099821377782</v>
      </c>
    </row>
    <row r="14" spans="1:12" x14ac:dyDescent="0.2">
      <c r="A14" t="s">
        <v>16</v>
      </c>
      <c r="B14">
        <v>4</v>
      </c>
      <c r="G14" s="21"/>
      <c r="K14" t="s">
        <v>231</v>
      </c>
      <c r="L14">
        <v>0.87494996945853309</v>
      </c>
    </row>
    <row r="15" spans="1:12" x14ac:dyDescent="0.2">
      <c r="A15" t="s">
        <v>17</v>
      </c>
      <c r="B15">
        <v>3.7</v>
      </c>
      <c r="F15" t="s">
        <v>219</v>
      </c>
      <c r="G15" s="21" t="s">
        <v>220</v>
      </c>
      <c r="H15">
        <f>MAX(B2:B201)-MIN(B2:B201)</f>
        <v>2.0999999999999996</v>
      </c>
      <c r="K15" t="s">
        <v>232</v>
      </c>
      <c r="L15">
        <v>2.0999999999999996</v>
      </c>
    </row>
    <row r="16" spans="1:12" x14ac:dyDescent="0.2">
      <c r="A16" t="s">
        <v>18</v>
      </c>
      <c r="B16">
        <v>4.4000000000000004</v>
      </c>
      <c r="G16" s="43" t="s">
        <v>221</v>
      </c>
      <c r="K16" t="s">
        <v>233</v>
      </c>
      <c r="L16">
        <v>3.2</v>
      </c>
    </row>
    <row r="17" spans="1:12" x14ac:dyDescent="0.2">
      <c r="A17" t="s">
        <v>19</v>
      </c>
      <c r="B17">
        <v>3.7</v>
      </c>
      <c r="G17" s="43"/>
      <c r="H17">
        <f>H8-H7</f>
        <v>0.40000000000000036</v>
      </c>
      <c r="K17" t="s">
        <v>234</v>
      </c>
      <c r="L17">
        <v>5.3</v>
      </c>
    </row>
    <row r="18" spans="1:12" x14ac:dyDescent="0.2">
      <c r="A18" t="s">
        <v>20</v>
      </c>
      <c r="B18">
        <v>3.5</v>
      </c>
      <c r="G18" s="21" t="s">
        <v>222</v>
      </c>
      <c r="H18">
        <f>_xlfn.STDEV.S(B2:B201)</f>
        <v>0.36035158710856052</v>
      </c>
      <c r="K18" t="s">
        <v>235</v>
      </c>
      <c r="L18">
        <v>807.2</v>
      </c>
    </row>
    <row r="19" spans="1:12" ht="16" thickBot="1" x14ac:dyDescent="0.25">
      <c r="A19" t="s">
        <v>21</v>
      </c>
      <c r="B19">
        <v>3.2</v>
      </c>
      <c r="G19" s="21" t="s">
        <v>223</v>
      </c>
      <c r="H19">
        <f>H18/H4*100</f>
        <v>8.9284337737502586</v>
      </c>
      <c r="K19" s="22" t="s">
        <v>236</v>
      </c>
      <c r="L19" s="22">
        <v>200</v>
      </c>
    </row>
    <row r="20" spans="1:12" x14ac:dyDescent="0.2">
      <c r="A20" t="s">
        <v>22</v>
      </c>
      <c r="B20">
        <v>4.2</v>
      </c>
      <c r="G20" s="21"/>
    </row>
    <row r="21" spans="1:12" x14ac:dyDescent="0.2">
      <c r="A21" t="s">
        <v>23</v>
      </c>
      <c r="B21">
        <v>3.9</v>
      </c>
      <c r="G21" s="21"/>
    </row>
    <row r="22" spans="1:12" x14ac:dyDescent="0.2">
      <c r="A22" t="s">
        <v>24</v>
      </c>
      <c r="B22">
        <v>3.8</v>
      </c>
      <c r="F22" t="s">
        <v>224</v>
      </c>
      <c r="G22" s="21" t="s">
        <v>225</v>
      </c>
      <c r="H22">
        <f>SKEW(B2:B201)</f>
        <v>0.87494996945853309</v>
      </c>
    </row>
    <row r="23" spans="1:12" x14ac:dyDescent="0.2">
      <c r="A23" t="s">
        <v>25</v>
      </c>
      <c r="B23">
        <v>4.2</v>
      </c>
      <c r="G23" s="21" t="s">
        <v>226</v>
      </c>
      <c r="H23">
        <f>KURT(B2:B201)</f>
        <v>1.7216099821377782</v>
      </c>
    </row>
    <row r="24" spans="1:12" x14ac:dyDescent="0.2">
      <c r="A24" t="s">
        <v>26</v>
      </c>
      <c r="B24">
        <v>4.5</v>
      </c>
      <c r="G24" s="21"/>
    </row>
    <row r="25" spans="1:12" x14ac:dyDescent="0.2">
      <c r="A25" t="s">
        <v>27</v>
      </c>
      <c r="B25">
        <v>4.2</v>
      </c>
      <c r="G25" s="21"/>
    </row>
    <row r="26" spans="1:12" ht="16" thickBot="1" x14ac:dyDescent="0.25">
      <c r="A26" t="s">
        <v>28</v>
      </c>
      <c r="B26">
        <v>3.9</v>
      </c>
      <c r="G26" s="21"/>
    </row>
    <row r="27" spans="1:12" x14ac:dyDescent="0.2">
      <c r="A27" t="s">
        <v>29</v>
      </c>
      <c r="B27">
        <v>3.6</v>
      </c>
      <c r="F27" t="s">
        <v>237</v>
      </c>
      <c r="G27" s="23" t="s">
        <v>238</v>
      </c>
      <c r="H27" s="23" t="s">
        <v>240</v>
      </c>
    </row>
    <row r="28" spans="1:12" x14ac:dyDescent="0.2">
      <c r="A28" t="s">
        <v>30</v>
      </c>
      <c r="B28">
        <v>3.9</v>
      </c>
      <c r="G28">
        <v>3.2</v>
      </c>
      <c r="H28">
        <v>1</v>
      </c>
    </row>
    <row r="29" spans="1:12" x14ac:dyDescent="0.2">
      <c r="A29" t="s">
        <v>31</v>
      </c>
      <c r="B29">
        <v>4.4000000000000004</v>
      </c>
      <c r="G29">
        <v>3.35</v>
      </c>
      <c r="H29">
        <v>3</v>
      </c>
    </row>
    <row r="30" spans="1:12" x14ac:dyDescent="0.2">
      <c r="A30" t="s">
        <v>32</v>
      </c>
      <c r="B30">
        <v>4.0999999999999996</v>
      </c>
      <c r="G30">
        <v>3.5</v>
      </c>
      <c r="H30">
        <v>6</v>
      </c>
    </row>
    <row r="31" spans="1:12" x14ac:dyDescent="0.2">
      <c r="A31" t="s">
        <v>33</v>
      </c>
      <c r="B31">
        <v>5.0999999999999996</v>
      </c>
      <c r="G31">
        <v>3.65</v>
      </c>
      <c r="H31">
        <v>11</v>
      </c>
    </row>
    <row r="32" spans="1:12" x14ac:dyDescent="0.2">
      <c r="A32" t="s">
        <v>34</v>
      </c>
      <c r="B32">
        <v>4.2</v>
      </c>
      <c r="G32">
        <v>3.8</v>
      </c>
      <c r="H32">
        <v>43</v>
      </c>
    </row>
    <row r="33" spans="1:8" x14ac:dyDescent="0.2">
      <c r="A33" t="s">
        <v>35</v>
      </c>
      <c r="B33">
        <v>4.0999999999999996</v>
      </c>
      <c r="G33">
        <v>3.95</v>
      </c>
      <c r="H33">
        <v>24</v>
      </c>
    </row>
    <row r="34" spans="1:8" x14ac:dyDescent="0.2">
      <c r="A34" t="s">
        <v>36</v>
      </c>
      <c r="B34">
        <v>3.6</v>
      </c>
      <c r="G34">
        <v>4.0999999999999996</v>
      </c>
      <c r="H34">
        <v>44</v>
      </c>
    </row>
    <row r="35" spans="1:8" x14ac:dyDescent="0.2">
      <c r="A35" t="s">
        <v>37</v>
      </c>
      <c r="B35">
        <v>4.2</v>
      </c>
      <c r="G35">
        <v>4.25</v>
      </c>
      <c r="H35">
        <v>25</v>
      </c>
    </row>
    <row r="36" spans="1:8" x14ac:dyDescent="0.2">
      <c r="A36" t="s">
        <v>38</v>
      </c>
      <c r="B36">
        <v>4.3</v>
      </c>
      <c r="G36">
        <v>4.4000000000000004</v>
      </c>
      <c r="H36">
        <v>24</v>
      </c>
    </row>
    <row r="37" spans="1:8" x14ac:dyDescent="0.2">
      <c r="A37" t="s">
        <v>39</v>
      </c>
      <c r="B37">
        <v>4.0999999999999996</v>
      </c>
      <c r="G37">
        <v>4.55</v>
      </c>
      <c r="H37">
        <v>5</v>
      </c>
    </row>
    <row r="38" spans="1:8" x14ac:dyDescent="0.2">
      <c r="A38" t="s">
        <v>40</v>
      </c>
      <c r="B38">
        <v>3.3</v>
      </c>
      <c r="G38">
        <v>4.6999999999999993</v>
      </c>
      <c r="H38">
        <v>3</v>
      </c>
    </row>
    <row r="39" spans="1:8" x14ac:dyDescent="0.2">
      <c r="A39" t="s">
        <v>41</v>
      </c>
      <c r="B39">
        <v>4</v>
      </c>
      <c r="G39">
        <v>4.8499999999999996</v>
      </c>
      <c r="H39">
        <v>4</v>
      </c>
    </row>
    <row r="40" spans="1:8" x14ac:dyDescent="0.2">
      <c r="A40" t="s">
        <v>42</v>
      </c>
      <c r="B40">
        <v>3.9</v>
      </c>
      <c r="G40">
        <v>5</v>
      </c>
      <c r="H40">
        <v>2</v>
      </c>
    </row>
    <row r="41" spans="1:8" x14ac:dyDescent="0.2">
      <c r="A41" t="s">
        <v>43</v>
      </c>
      <c r="B41">
        <v>4</v>
      </c>
      <c r="G41">
        <v>5.1499999999999995</v>
      </c>
      <c r="H41">
        <v>2</v>
      </c>
    </row>
    <row r="42" spans="1:8" ht="16" thickBot="1" x14ac:dyDescent="0.25">
      <c r="A42" t="s">
        <v>44</v>
      </c>
      <c r="B42">
        <v>4</v>
      </c>
      <c r="G42" s="22" t="s">
        <v>239</v>
      </c>
      <c r="H42" s="22">
        <v>3</v>
      </c>
    </row>
    <row r="43" spans="1:8" x14ac:dyDescent="0.2">
      <c r="A43" t="s">
        <v>45</v>
      </c>
      <c r="B43">
        <v>4</v>
      </c>
    </row>
    <row r="44" spans="1:8" x14ac:dyDescent="0.2">
      <c r="A44" t="s">
        <v>46</v>
      </c>
      <c r="B44">
        <v>4.2</v>
      </c>
    </row>
    <row r="45" spans="1:8" x14ac:dyDescent="0.2">
      <c r="A45" t="s">
        <v>47</v>
      </c>
      <c r="B45">
        <v>4.3</v>
      </c>
    </row>
    <row r="46" spans="1:8" x14ac:dyDescent="0.2">
      <c r="A46" t="s">
        <v>48</v>
      </c>
      <c r="B46">
        <v>4.8</v>
      </c>
    </row>
    <row r="47" spans="1:8" x14ac:dyDescent="0.2">
      <c r="A47" t="s">
        <v>49</v>
      </c>
      <c r="B47">
        <v>4.0999999999999996</v>
      </c>
    </row>
    <row r="48" spans="1:8" x14ac:dyDescent="0.2">
      <c r="A48" t="s">
        <v>50</v>
      </c>
      <c r="B48">
        <v>4.5999999999999996</v>
      </c>
    </row>
    <row r="49" spans="1:2" x14ac:dyDescent="0.2">
      <c r="A49" t="s">
        <v>51</v>
      </c>
      <c r="B49">
        <v>4</v>
      </c>
    </row>
    <row r="50" spans="1:2" x14ac:dyDescent="0.2">
      <c r="A50" t="s">
        <v>52</v>
      </c>
      <c r="B50">
        <v>4.2</v>
      </c>
    </row>
    <row r="51" spans="1:2" x14ac:dyDescent="0.2">
      <c r="A51" t="s">
        <v>53</v>
      </c>
      <c r="B51">
        <v>4</v>
      </c>
    </row>
    <row r="52" spans="1:2" x14ac:dyDescent="0.2">
      <c r="A52" t="s">
        <v>54</v>
      </c>
      <c r="B52">
        <v>4.4000000000000004</v>
      </c>
    </row>
    <row r="53" spans="1:2" x14ac:dyDescent="0.2">
      <c r="A53" t="s">
        <v>55</v>
      </c>
      <c r="B53">
        <v>4.2</v>
      </c>
    </row>
    <row r="54" spans="1:2" x14ac:dyDescent="0.2">
      <c r="A54" t="s">
        <v>56</v>
      </c>
      <c r="B54">
        <v>4.3</v>
      </c>
    </row>
    <row r="55" spans="1:2" x14ac:dyDescent="0.2">
      <c r="A55" t="s">
        <v>57</v>
      </c>
      <c r="B55">
        <v>3.7</v>
      </c>
    </row>
    <row r="56" spans="1:2" x14ac:dyDescent="0.2">
      <c r="A56" t="s">
        <v>58</v>
      </c>
      <c r="B56">
        <v>3.5</v>
      </c>
    </row>
    <row r="57" spans="1:2" x14ac:dyDescent="0.2">
      <c r="A57" t="s">
        <v>59</v>
      </c>
      <c r="B57">
        <v>3.8</v>
      </c>
    </row>
    <row r="58" spans="1:2" x14ac:dyDescent="0.2">
      <c r="A58" t="s">
        <v>60</v>
      </c>
      <c r="B58">
        <v>5.3</v>
      </c>
    </row>
    <row r="59" spans="1:2" x14ac:dyDescent="0.2">
      <c r="A59" t="s">
        <v>61</v>
      </c>
      <c r="B59">
        <v>4</v>
      </c>
    </row>
    <row r="60" spans="1:2" x14ac:dyDescent="0.2">
      <c r="A60" t="s">
        <v>62</v>
      </c>
      <c r="B60">
        <v>3.9</v>
      </c>
    </row>
    <row r="61" spans="1:2" x14ac:dyDescent="0.2">
      <c r="A61" t="s">
        <v>63</v>
      </c>
      <c r="B61">
        <v>4.2</v>
      </c>
    </row>
    <row r="62" spans="1:2" x14ac:dyDescent="0.2">
      <c r="A62" t="s">
        <v>64</v>
      </c>
      <c r="B62">
        <v>4.0999999999999996</v>
      </c>
    </row>
    <row r="63" spans="1:2" x14ac:dyDescent="0.2">
      <c r="A63" t="s">
        <v>65</v>
      </c>
      <c r="B63">
        <v>3.7</v>
      </c>
    </row>
    <row r="64" spans="1:2" x14ac:dyDescent="0.2">
      <c r="A64" t="s">
        <v>66</v>
      </c>
      <c r="B64">
        <v>4.3</v>
      </c>
    </row>
    <row r="65" spans="1:2" x14ac:dyDescent="0.2">
      <c r="A65" t="s">
        <v>67</v>
      </c>
      <c r="B65">
        <v>4.3</v>
      </c>
    </row>
    <row r="66" spans="1:2" x14ac:dyDescent="0.2">
      <c r="A66" t="s">
        <v>68</v>
      </c>
      <c r="B66">
        <v>3.9</v>
      </c>
    </row>
    <row r="67" spans="1:2" x14ac:dyDescent="0.2">
      <c r="A67" t="s">
        <v>69</v>
      </c>
      <c r="B67">
        <v>3.9</v>
      </c>
    </row>
    <row r="68" spans="1:2" x14ac:dyDescent="0.2">
      <c r="A68" t="s">
        <v>70</v>
      </c>
      <c r="B68">
        <v>4.4000000000000004</v>
      </c>
    </row>
    <row r="69" spans="1:2" x14ac:dyDescent="0.2">
      <c r="A69" t="s">
        <v>71</v>
      </c>
      <c r="B69">
        <v>3.9</v>
      </c>
    </row>
    <row r="70" spans="1:2" x14ac:dyDescent="0.2">
      <c r="A70" t="s">
        <v>72</v>
      </c>
      <c r="B70">
        <v>3.8</v>
      </c>
    </row>
    <row r="71" spans="1:2" x14ac:dyDescent="0.2">
      <c r="A71" t="s">
        <v>73</v>
      </c>
      <c r="B71">
        <v>4.3</v>
      </c>
    </row>
    <row r="72" spans="1:2" x14ac:dyDescent="0.2">
      <c r="A72" t="s">
        <v>74</v>
      </c>
      <c r="B72">
        <v>4</v>
      </c>
    </row>
    <row r="73" spans="1:2" x14ac:dyDescent="0.2">
      <c r="A73" t="s">
        <v>75</v>
      </c>
      <c r="B73">
        <v>4</v>
      </c>
    </row>
    <row r="74" spans="1:2" x14ac:dyDescent="0.2">
      <c r="A74" t="s">
        <v>76</v>
      </c>
      <c r="B74">
        <v>4.2</v>
      </c>
    </row>
    <row r="75" spans="1:2" x14ac:dyDescent="0.2">
      <c r="A75" t="s">
        <v>77</v>
      </c>
      <c r="B75">
        <v>4</v>
      </c>
    </row>
    <row r="76" spans="1:2" x14ac:dyDescent="0.2">
      <c r="A76" t="s">
        <v>78</v>
      </c>
      <c r="B76">
        <v>4.0999999999999996</v>
      </c>
    </row>
    <row r="77" spans="1:2" x14ac:dyDescent="0.2">
      <c r="A77" t="s">
        <v>79</v>
      </c>
      <c r="B77">
        <v>4.4000000000000004</v>
      </c>
    </row>
    <row r="78" spans="1:2" x14ac:dyDescent="0.2">
      <c r="A78" t="s">
        <v>80</v>
      </c>
      <c r="B78">
        <v>4</v>
      </c>
    </row>
    <row r="79" spans="1:2" x14ac:dyDescent="0.2">
      <c r="A79" t="s">
        <v>81</v>
      </c>
      <c r="B79">
        <v>4.0999999999999996</v>
      </c>
    </row>
    <row r="80" spans="1:2" x14ac:dyDescent="0.2">
      <c r="A80" t="s">
        <v>82</v>
      </c>
      <c r="B80">
        <v>3.8</v>
      </c>
    </row>
    <row r="81" spans="1:2" x14ac:dyDescent="0.2">
      <c r="A81" t="s">
        <v>83</v>
      </c>
      <c r="B81">
        <v>3.8</v>
      </c>
    </row>
    <row r="82" spans="1:2" x14ac:dyDescent="0.2">
      <c r="A82" t="s">
        <v>84</v>
      </c>
      <c r="B82">
        <v>3.8</v>
      </c>
    </row>
    <row r="83" spans="1:2" x14ac:dyDescent="0.2">
      <c r="A83" t="s">
        <v>85</v>
      </c>
      <c r="B83">
        <v>3.3</v>
      </c>
    </row>
    <row r="84" spans="1:2" x14ac:dyDescent="0.2">
      <c r="A84" t="s">
        <v>86</v>
      </c>
      <c r="B84">
        <v>4</v>
      </c>
    </row>
    <row r="85" spans="1:2" x14ac:dyDescent="0.2">
      <c r="A85" t="s">
        <v>87</v>
      </c>
      <c r="B85">
        <v>4.2</v>
      </c>
    </row>
    <row r="86" spans="1:2" x14ac:dyDescent="0.2">
      <c r="A86" t="s">
        <v>88</v>
      </c>
      <c r="B86">
        <v>4.2</v>
      </c>
    </row>
    <row r="87" spans="1:2" x14ac:dyDescent="0.2">
      <c r="A87" t="s">
        <v>89</v>
      </c>
      <c r="B87">
        <v>3.8</v>
      </c>
    </row>
    <row r="88" spans="1:2" x14ac:dyDescent="0.2">
      <c r="A88" t="s">
        <v>90</v>
      </c>
      <c r="B88">
        <v>3.9</v>
      </c>
    </row>
    <row r="89" spans="1:2" x14ac:dyDescent="0.2">
      <c r="A89" t="s">
        <v>91</v>
      </c>
      <c r="B89">
        <v>4.0999999999999996</v>
      </c>
    </row>
    <row r="90" spans="1:2" x14ac:dyDescent="0.2">
      <c r="A90" t="s">
        <v>92</v>
      </c>
      <c r="B90">
        <v>3.7</v>
      </c>
    </row>
    <row r="91" spans="1:2" x14ac:dyDescent="0.2">
      <c r="A91" t="s">
        <v>93</v>
      </c>
      <c r="B91">
        <v>3.9</v>
      </c>
    </row>
    <row r="92" spans="1:2" x14ac:dyDescent="0.2">
      <c r="A92" t="s">
        <v>94</v>
      </c>
      <c r="B92">
        <v>3.8</v>
      </c>
    </row>
    <row r="93" spans="1:2" x14ac:dyDescent="0.2">
      <c r="A93" t="s">
        <v>95</v>
      </c>
      <c r="B93">
        <v>4.9000000000000004</v>
      </c>
    </row>
    <row r="94" spans="1:2" x14ac:dyDescent="0.2">
      <c r="A94" t="s">
        <v>96</v>
      </c>
      <c r="B94">
        <v>3.7</v>
      </c>
    </row>
    <row r="95" spans="1:2" x14ac:dyDescent="0.2">
      <c r="A95" t="s">
        <v>97</v>
      </c>
      <c r="B95">
        <v>4.2</v>
      </c>
    </row>
    <row r="96" spans="1:2" x14ac:dyDescent="0.2">
      <c r="A96" t="s">
        <v>98</v>
      </c>
      <c r="B96">
        <v>3.8</v>
      </c>
    </row>
    <row r="97" spans="1:2" x14ac:dyDescent="0.2">
      <c r="A97" t="s">
        <v>99</v>
      </c>
      <c r="B97">
        <v>3.7</v>
      </c>
    </row>
    <row r="98" spans="1:2" x14ac:dyDescent="0.2">
      <c r="A98" t="s">
        <v>100</v>
      </c>
      <c r="B98">
        <v>4.3</v>
      </c>
    </row>
    <row r="99" spans="1:2" x14ac:dyDescent="0.2">
      <c r="A99" t="s">
        <v>101</v>
      </c>
      <c r="B99">
        <v>3.7</v>
      </c>
    </row>
    <row r="100" spans="1:2" x14ac:dyDescent="0.2">
      <c r="A100" t="s">
        <v>102</v>
      </c>
      <c r="B100">
        <v>4</v>
      </c>
    </row>
    <row r="101" spans="1:2" x14ac:dyDescent="0.2">
      <c r="A101" t="s">
        <v>103</v>
      </c>
      <c r="B101">
        <v>4.0999999999999996</v>
      </c>
    </row>
    <row r="102" spans="1:2" x14ac:dyDescent="0.2">
      <c r="A102" t="s">
        <v>104</v>
      </c>
      <c r="B102">
        <v>5.2</v>
      </c>
    </row>
    <row r="103" spans="1:2" x14ac:dyDescent="0.2">
      <c r="A103" t="s">
        <v>105</v>
      </c>
      <c r="B103">
        <v>4.5</v>
      </c>
    </row>
    <row r="104" spans="1:2" x14ac:dyDescent="0.2">
      <c r="A104" t="s">
        <v>106</v>
      </c>
      <c r="B104">
        <v>4</v>
      </c>
    </row>
    <row r="105" spans="1:2" x14ac:dyDescent="0.2">
      <c r="A105" t="s">
        <v>107</v>
      </c>
      <c r="B105">
        <v>4.3</v>
      </c>
    </row>
    <row r="106" spans="1:2" x14ac:dyDescent="0.2">
      <c r="A106" t="s">
        <v>108</v>
      </c>
      <c r="B106">
        <v>3.8</v>
      </c>
    </row>
    <row r="107" spans="1:2" x14ac:dyDescent="0.2">
      <c r="A107" t="s">
        <v>109</v>
      </c>
      <c r="B107">
        <v>3.9</v>
      </c>
    </row>
    <row r="108" spans="1:2" x14ac:dyDescent="0.2">
      <c r="A108" t="s">
        <v>110</v>
      </c>
      <c r="B108">
        <v>3.9</v>
      </c>
    </row>
    <row r="109" spans="1:2" x14ac:dyDescent="0.2">
      <c r="A109" t="s">
        <v>111</v>
      </c>
      <c r="B109">
        <v>3.8</v>
      </c>
    </row>
    <row r="110" spans="1:2" x14ac:dyDescent="0.2">
      <c r="A110" t="s">
        <v>112</v>
      </c>
      <c r="B110">
        <v>3.4</v>
      </c>
    </row>
    <row r="111" spans="1:2" x14ac:dyDescent="0.2">
      <c r="A111" t="s">
        <v>113</v>
      </c>
      <c r="B111">
        <v>3.7</v>
      </c>
    </row>
    <row r="112" spans="1:2" x14ac:dyDescent="0.2">
      <c r="A112" t="s">
        <v>114</v>
      </c>
      <c r="B112">
        <v>4.5</v>
      </c>
    </row>
    <row r="113" spans="1:2" x14ac:dyDescent="0.2">
      <c r="A113" t="s">
        <v>115</v>
      </c>
      <c r="B113">
        <v>3.7</v>
      </c>
    </row>
    <row r="114" spans="1:2" x14ac:dyDescent="0.2">
      <c r="A114" t="s">
        <v>116</v>
      </c>
      <c r="B114">
        <v>4.4000000000000004</v>
      </c>
    </row>
    <row r="115" spans="1:2" x14ac:dyDescent="0.2">
      <c r="A115" t="s">
        <v>117</v>
      </c>
      <c r="B115">
        <v>4.2</v>
      </c>
    </row>
    <row r="116" spans="1:2" x14ac:dyDescent="0.2">
      <c r="A116" t="s">
        <v>118</v>
      </c>
      <c r="B116">
        <v>4.2</v>
      </c>
    </row>
    <row r="117" spans="1:2" x14ac:dyDescent="0.2">
      <c r="A117" t="s">
        <v>119</v>
      </c>
      <c r="B117">
        <v>4.0999999999999996</v>
      </c>
    </row>
    <row r="118" spans="1:2" x14ac:dyDescent="0.2">
      <c r="A118" t="s">
        <v>120</v>
      </c>
      <c r="B118">
        <v>4.8</v>
      </c>
    </row>
    <row r="119" spans="1:2" x14ac:dyDescent="0.2">
      <c r="A119" t="s">
        <v>121</v>
      </c>
      <c r="B119">
        <v>4.4000000000000004</v>
      </c>
    </row>
    <row r="120" spans="1:2" x14ac:dyDescent="0.2">
      <c r="A120" t="s">
        <v>122</v>
      </c>
      <c r="B120">
        <v>3.8</v>
      </c>
    </row>
    <row r="121" spans="1:2" x14ac:dyDescent="0.2">
      <c r="A121" t="s">
        <v>123</v>
      </c>
      <c r="B121">
        <v>5.0999999999999996</v>
      </c>
    </row>
    <row r="122" spans="1:2" x14ac:dyDescent="0.2">
      <c r="A122" t="s">
        <v>124</v>
      </c>
      <c r="B122">
        <v>4.5999999999999996</v>
      </c>
    </row>
    <row r="123" spans="1:2" x14ac:dyDescent="0.2">
      <c r="A123" t="s">
        <v>125</v>
      </c>
      <c r="B123">
        <v>3.6</v>
      </c>
    </row>
    <row r="124" spans="1:2" x14ac:dyDescent="0.2">
      <c r="A124" t="s">
        <v>126</v>
      </c>
      <c r="B124">
        <v>4.3</v>
      </c>
    </row>
    <row r="125" spans="1:2" x14ac:dyDescent="0.2">
      <c r="A125" t="s">
        <v>127</v>
      </c>
      <c r="B125">
        <v>3.7</v>
      </c>
    </row>
    <row r="126" spans="1:2" x14ac:dyDescent="0.2">
      <c r="A126" t="s">
        <v>128</v>
      </c>
      <c r="B126">
        <v>4.0999999999999996</v>
      </c>
    </row>
    <row r="127" spans="1:2" x14ac:dyDescent="0.2">
      <c r="A127" t="s">
        <v>129</v>
      </c>
      <c r="B127">
        <v>3.8</v>
      </c>
    </row>
    <row r="128" spans="1:2" x14ac:dyDescent="0.2">
      <c r="A128" t="s">
        <v>130</v>
      </c>
      <c r="B128">
        <v>4.3</v>
      </c>
    </row>
    <row r="129" spans="1:2" x14ac:dyDescent="0.2">
      <c r="A129" t="s">
        <v>131</v>
      </c>
      <c r="B129">
        <v>3.5</v>
      </c>
    </row>
    <row r="130" spans="1:2" x14ac:dyDescent="0.2">
      <c r="A130" t="s">
        <v>132</v>
      </c>
      <c r="B130">
        <v>3.8</v>
      </c>
    </row>
    <row r="131" spans="1:2" x14ac:dyDescent="0.2">
      <c r="A131" t="s">
        <v>133</v>
      </c>
      <c r="B131">
        <v>3.9</v>
      </c>
    </row>
    <row r="132" spans="1:2" x14ac:dyDescent="0.2">
      <c r="A132" t="s">
        <v>134</v>
      </c>
      <c r="B132">
        <v>3.8</v>
      </c>
    </row>
    <row r="133" spans="1:2" x14ac:dyDescent="0.2">
      <c r="A133" t="s">
        <v>135</v>
      </c>
      <c r="B133">
        <v>4.0999999999999996</v>
      </c>
    </row>
    <row r="134" spans="1:2" x14ac:dyDescent="0.2">
      <c r="A134" t="s">
        <v>136</v>
      </c>
      <c r="B134">
        <v>4.4000000000000004</v>
      </c>
    </row>
    <row r="135" spans="1:2" x14ac:dyDescent="0.2">
      <c r="A135" t="s">
        <v>137</v>
      </c>
      <c r="B135">
        <v>4.2</v>
      </c>
    </row>
    <row r="136" spans="1:2" x14ac:dyDescent="0.2">
      <c r="A136" t="s">
        <v>138</v>
      </c>
      <c r="B136">
        <v>3.6</v>
      </c>
    </row>
    <row r="137" spans="1:2" x14ac:dyDescent="0.2">
      <c r="A137" t="s">
        <v>139</v>
      </c>
      <c r="B137">
        <v>4</v>
      </c>
    </row>
    <row r="138" spans="1:2" x14ac:dyDescent="0.2">
      <c r="A138" t="s">
        <v>140</v>
      </c>
      <c r="B138">
        <v>3.9</v>
      </c>
    </row>
    <row r="139" spans="1:2" x14ac:dyDescent="0.2">
      <c r="A139" t="s">
        <v>141</v>
      </c>
      <c r="B139">
        <v>4.3</v>
      </c>
    </row>
    <row r="140" spans="1:2" x14ac:dyDescent="0.2">
      <c r="A140" t="s">
        <v>142</v>
      </c>
      <c r="B140">
        <v>3.7</v>
      </c>
    </row>
    <row r="141" spans="1:2" x14ac:dyDescent="0.2">
      <c r="A141" t="s">
        <v>143</v>
      </c>
      <c r="B141">
        <v>3.6</v>
      </c>
    </row>
    <row r="142" spans="1:2" x14ac:dyDescent="0.2">
      <c r="A142" t="s">
        <v>144</v>
      </c>
      <c r="B142">
        <v>3.8</v>
      </c>
    </row>
    <row r="143" spans="1:2" x14ac:dyDescent="0.2">
      <c r="A143" t="s">
        <v>145</v>
      </c>
      <c r="B143">
        <v>4.7</v>
      </c>
    </row>
    <row r="144" spans="1:2" x14ac:dyDescent="0.2">
      <c r="A144" t="s">
        <v>146</v>
      </c>
      <c r="B144">
        <v>4.0999999999999996</v>
      </c>
    </row>
    <row r="145" spans="1:2" x14ac:dyDescent="0.2">
      <c r="A145" t="s">
        <v>147</v>
      </c>
      <c r="B145">
        <v>4</v>
      </c>
    </row>
    <row r="146" spans="1:2" x14ac:dyDescent="0.2">
      <c r="A146" t="s">
        <v>148</v>
      </c>
      <c r="B146">
        <v>4.0999999999999996</v>
      </c>
    </row>
    <row r="147" spans="1:2" x14ac:dyDescent="0.2">
      <c r="A147" t="s">
        <v>149</v>
      </c>
      <c r="B147">
        <v>3.9</v>
      </c>
    </row>
    <row r="148" spans="1:2" x14ac:dyDescent="0.2">
      <c r="A148" t="s">
        <v>150</v>
      </c>
      <c r="B148">
        <v>3.9</v>
      </c>
    </row>
    <row r="149" spans="1:2" x14ac:dyDescent="0.2">
      <c r="A149" t="s">
        <v>151</v>
      </c>
      <c r="B149">
        <v>4</v>
      </c>
    </row>
    <row r="150" spans="1:2" x14ac:dyDescent="0.2">
      <c r="A150" t="s">
        <v>152</v>
      </c>
      <c r="B150">
        <v>3.8</v>
      </c>
    </row>
    <row r="151" spans="1:2" x14ac:dyDescent="0.2">
      <c r="A151" t="s">
        <v>153</v>
      </c>
      <c r="B151">
        <v>4.2</v>
      </c>
    </row>
    <row r="152" spans="1:2" x14ac:dyDescent="0.2">
      <c r="A152" t="s">
        <v>154</v>
      </c>
      <c r="B152">
        <v>3.9</v>
      </c>
    </row>
    <row r="153" spans="1:2" x14ac:dyDescent="0.2">
      <c r="A153" t="s">
        <v>155</v>
      </c>
      <c r="B153">
        <v>4.0999999999999996</v>
      </c>
    </row>
    <row r="154" spans="1:2" x14ac:dyDescent="0.2">
      <c r="A154" t="s">
        <v>156</v>
      </c>
      <c r="B154">
        <v>4.5</v>
      </c>
    </row>
    <row r="155" spans="1:2" x14ac:dyDescent="0.2">
      <c r="A155" t="s">
        <v>157</v>
      </c>
      <c r="B155">
        <v>4.0999999999999996</v>
      </c>
    </row>
    <row r="156" spans="1:2" x14ac:dyDescent="0.2">
      <c r="A156" t="s">
        <v>158</v>
      </c>
      <c r="B156">
        <v>4</v>
      </c>
    </row>
    <row r="157" spans="1:2" x14ac:dyDescent="0.2">
      <c r="A157" t="s">
        <v>159</v>
      </c>
      <c r="B157">
        <v>3.9</v>
      </c>
    </row>
    <row r="158" spans="1:2" x14ac:dyDescent="0.2">
      <c r="A158" t="s">
        <v>160</v>
      </c>
      <c r="B158">
        <v>4.2</v>
      </c>
    </row>
    <row r="159" spans="1:2" x14ac:dyDescent="0.2">
      <c r="A159" t="s">
        <v>161</v>
      </c>
      <c r="B159">
        <v>4.0999999999999996</v>
      </c>
    </row>
    <row r="160" spans="1:2" x14ac:dyDescent="0.2">
      <c r="A160" t="s">
        <v>162</v>
      </c>
      <c r="B160">
        <v>5</v>
      </c>
    </row>
    <row r="161" spans="1:2" x14ac:dyDescent="0.2">
      <c r="A161" t="s">
        <v>163</v>
      </c>
      <c r="B161">
        <v>3.7</v>
      </c>
    </row>
    <row r="162" spans="1:2" x14ac:dyDescent="0.2">
      <c r="A162" t="s">
        <v>164</v>
      </c>
      <c r="B162">
        <v>3.9</v>
      </c>
    </row>
    <row r="163" spans="1:2" x14ac:dyDescent="0.2">
      <c r="A163" t="s">
        <v>165</v>
      </c>
      <c r="B163">
        <v>3.8</v>
      </c>
    </row>
    <row r="164" spans="1:2" x14ac:dyDescent="0.2">
      <c r="A164" t="s">
        <v>166</v>
      </c>
      <c r="B164">
        <v>4.2</v>
      </c>
    </row>
    <row r="165" spans="1:2" x14ac:dyDescent="0.2">
      <c r="A165" t="s">
        <v>167</v>
      </c>
      <c r="B165">
        <v>3.7</v>
      </c>
    </row>
    <row r="166" spans="1:2" x14ac:dyDescent="0.2">
      <c r="A166" t="s">
        <v>168</v>
      </c>
      <c r="B166">
        <v>3.6</v>
      </c>
    </row>
    <row r="167" spans="1:2" x14ac:dyDescent="0.2">
      <c r="A167" t="s">
        <v>169</v>
      </c>
      <c r="B167">
        <v>3.9</v>
      </c>
    </row>
    <row r="168" spans="1:2" x14ac:dyDescent="0.2">
      <c r="A168" t="s">
        <v>170</v>
      </c>
      <c r="B168">
        <v>3.5</v>
      </c>
    </row>
    <row r="169" spans="1:2" x14ac:dyDescent="0.2">
      <c r="A169" t="s">
        <v>171</v>
      </c>
      <c r="B169">
        <v>4.7</v>
      </c>
    </row>
    <row r="170" spans="1:2" x14ac:dyDescent="0.2">
      <c r="A170" t="s">
        <v>172</v>
      </c>
      <c r="B170">
        <v>3.8</v>
      </c>
    </row>
    <row r="171" spans="1:2" x14ac:dyDescent="0.2">
      <c r="A171" t="s">
        <v>173</v>
      </c>
      <c r="B171">
        <v>3.6</v>
      </c>
    </row>
    <row r="172" spans="1:2" x14ac:dyDescent="0.2">
      <c r="A172" t="s">
        <v>174</v>
      </c>
      <c r="B172">
        <v>3.9</v>
      </c>
    </row>
    <row r="173" spans="1:2" x14ac:dyDescent="0.2">
      <c r="A173" t="s">
        <v>175</v>
      </c>
      <c r="B173">
        <v>3.9</v>
      </c>
    </row>
    <row r="174" spans="1:2" x14ac:dyDescent="0.2">
      <c r="A174" t="s">
        <v>176</v>
      </c>
      <c r="B174">
        <v>3.9</v>
      </c>
    </row>
    <row r="175" spans="1:2" x14ac:dyDescent="0.2">
      <c r="A175" t="s">
        <v>177</v>
      </c>
      <c r="B175">
        <v>3.6</v>
      </c>
    </row>
    <row r="176" spans="1:2" x14ac:dyDescent="0.2">
      <c r="A176" t="s">
        <v>178</v>
      </c>
      <c r="B176">
        <v>4.3</v>
      </c>
    </row>
    <row r="177" spans="1:2" x14ac:dyDescent="0.2">
      <c r="A177" t="s">
        <v>179</v>
      </c>
      <c r="B177">
        <v>4</v>
      </c>
    </row>
    <row r="178" spans="1:2" x14ac:dyDescent="0.2">
      <c r="A178" t="s">
        <v>180</v>
      </c>
      <c r="B178">
        <v>3.8</v>
      </c>
    </row>
    <row r="179" spans="1:2" x14ac:dyDescent="0.2">
      <c r="A179" t="s">
        <v>181</v>
      </c>
      <c r="B179">
        <v>3.6</v>
      </c>
    </row>
    <row r="180" spans="1:2" x14ac:dyDescent="0.2">
      <c r="A180" t="s">
        <v>182</v>
      </c>
      <c r="B180">
        <v>3.6</v>
      </c>
    </row>
    <row r="181" spans="1:2" x14ac:dyDescent="0.2">
      <c r="A181" t="s">
        <v>183</v>
      </c>
      <c r="B181">
        <v>4</v>
      </c>
    </row>
    <row r="182" spans="1:2" x14ac:dyDescent="0.2">
      <c r="A182" t="s">
        <v>184</v>
      </c>
      <c r="B182">
        <v>4.3</v>
      </c>
    </row>
    <row r="183" spans="1:2" x14ac:dyDescent="0.2">
      <c r="A183" t="s">
        <v>185</v>
      </c>
      <c r="B183">
        <v>4.2</v>
      </c>
    </row>
    <row r="184" spans="1:2" x14ac:dyDescent="0.2">
      <c r="A184" t="s">
        <v>186</v>
      </c>
      <c r="B184">
        <v>4.5999999999999996</v>
      </c>
    </row>
    <row r="185" spans="1:2" x14ac:dyDescent="0.2">
      <c r="A185" t="s">
        <v>187</v>
      </c>
      <c r="B185">
        <v>3.7</v>
      </c>
    </row>
    <row r="186" spans="1:2" x14ac:dyDescent="0.2">
      <c r="A186" t="s">
        <v>188</v>
      </c>
      <c r="B186">
        <v>3.8</v>
      </c>
    </row>
    <row r="187" spans="1:2" x14ac:dyDescent="0.2">
      <c r="A187" t="s">
        <v>189</v>
      </c>
      <c r="B187">
        <v>3.8</v>
      </c>
    </row>
    <row r="188" spans="1:2" x14ac:dyDescent="0.2">
      <c r="A188" t="s">
        <v>190</v>
      </c>
      <c r="B188">
        <v>5.3</v>
      </c>
    </row>
    <row r="189" spans="1:2" x14ac:dyDescent="0.2">
      <c r="A189" t="s">
        <v>191</v>
      </c>
      <c r="B189">
        <v>4.2</v>
      </c>
    </row>
    <row r="190" spans="1:2" x14ac:dyDescent="0.2">
      <c r="A190" t="s">
        <v>192</v>
      </c>
      <c r="B190">
        <v>4.0999999999999996</v>
      </c>
    </row>
    <row r="191" spans="1:2" x14ac:dyDescent="0.2">
      <c r="A191" t="s">
        <v>193</v>
      </c>
      <c r="B191">
        <v>3.8</v>
      </c>
    </row>
    <row r="192" spans="1:2" x14ac:dyDescent="0.2">
      <c r="A192" t="s">
        <v>194</v>
      </c>
      <c r="B192">
        <v>4.2</v>
      </c>
    </row>
    <row r="193" spans="1:2" x14ac:dyDescent="0.2">
      <c r="A193" t="s">
        <v>195</v>
      </c>
      <c r="B193">
        <v>4.2</v>
      </c>
    </row>
    <row r="194" spans="1:2" x14ac:dyDescent="0.2">
      <c r="A194" t="s">
        <v>196</v>
      </c>
      <c r="B194">
        <v>4</v>
      </c>
    </row>
    <row r="195" spans="1:2" x14ac:dyDescent="0.2">
      <c r="A195" t="s">
        <v>197</v>
      </c>
      <c r="B195">
        <v>3.8</v>
      </c>
    </row>
    <row r="196" spans="1:2" x14ac:dyDescent="0.2">
      <c r="A196" t="s">
        <v>198</v>
      </c>
      <c r="B196">
        <v>3.7</v>
      </c>
    </row>
    <row r="197" spans="1:2" x14ac:dyDescent="0.2">
      <c r="A197" t="s">
        <v>199</v>
      </c>
      <c r="B197">
        <v>4.2</v>
      </c>
    </row>
    <row r="198" spans="1:2" x14ac:dyDescent="0.2">
      <c r="A198" t="s">
        <v>200</v>
      </c>
      <c r="B198">
        <v>3.9</v>
      </c>
    </row>
    <row r="199" spans="1:2" x14ac:dyDescent="0.2">
      <c r="A199" t="s">
        <v>201</v>
      </c>
      <c r="B199">
        <v>4.4000000000000004</v>
      </c>
    </row>
    <row r="200" spans="1:2" x14ac:dyDescent="0.2">
      <c r="A200" t="s">
        <v>202</v>
      </c>
      <c r="B200">
        <v>3.3</v>
      </c>
    </row>
    <row r="201" spans="1:2" x14ac:dyDescent="0.2">
      <c r="A201" t="s">
        <v>203</v>
      </c>
      <c r="B201">
        <v>3.7</v>
      </c>
    </row>
  </sheetData>
  <mergeCells count="1">
    <mergeCell ref="G16:G17"/>
  </mergeCells>
  <phoneticPr fontId="2" type="noConversion"/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5310FD-6BF6-4A5C-8932-A83F87BE323D}">
  <dimension ref="A2:J20"/>
  <sheetViews>
    <sheetView workbookViewId="0">
      <selection activeCell="R23" sqref="R23"/>
    </sheetView>
  </sheetViews>
  <sheetFormatPr baseColWidth="10" defaultRowHeight="15" x14ac:dyDescent="0.2"/>
  <cols>
    <col min="3" max="3" width="12.6640625" customWidth="1"/>
  </cols>
  <sheetData>
    <row r="2" spans="1:10" ht="16" thickBot="1" x14ac:dyDescent="0.25">
      <c r="A2" t="s">
        <v>211</v>
      </c>
    </row>
    <row r="3" spans="1:10" ht="16" thickBot="1" x14ac:dyDescent="0.25">
      <c r="B3" s="10" t="s">
        <v>2</v>
      </c>
      <c r="C3" s="11" t="s">
        <v>1</v>
      </c>
      <c r="D3" s="25" t="s">
        <v>3</v>
      </c>
      <c r="E3" s="29" t="s">
        <v>241</v>
      </c>
      <c r="F3" s="29" t="s">
        <v>242</v>
      </c>
      <c r="G3" s="29" t="s">
        <v>243</v>
      </c>
      <c r="H3" s="29" t="s">
        <v>244</v>
      </c>
      <c r="I3" s="29" t="s">
        <v>245</v>
      </c>
      <c r="J3" s="30" t="s">
        <v>246</v>
      </c>
    </row>
    <row r="4" spans="1:10" x14ac:dyDescent="0.2">
      <c r="B4" s="7">
        <v>3</v>
      </c>
      <c r="C4" s="8">
        <v>3.4</v>
      </c>
      <c r="D4" s="26">
        <v>35</v>
      </c>
      <c r="E4" s="31">
        <f>(B4+C4)/2</f>
        <v>3.2</v>
      </c>
      <c r="F4" s="31">
        <f>D4/$D$10</f>
        <v>3.5000000000000003E-2</v>
      </c>
      <c r="G4" s="31">
        <f>D4</f>
        <v>35</v>
      </c>
      <c r="H4" s="31">
        <f>F4</f>
        <v>3.5000000000000003E-2</v>
      </c>
      <c r="I4" s="31">
        <f>C4-B4</f>
        <v>0.39999999999999991</v>
      </c>
      <c r="J4" s="32">
        <f>D4/I4</f>
        <v>87.500000000000014</v>
      </c>
    </row>
    <row r="5" spans="1:10" x14ac:dyDescent="0.2">
      <c r="B5" s="2">
        <v>3.4</v>
      </c>
      <c r="C5" s="1">
        <v>3.8</v>
      </c>
      <c r="D5" s="27">
        <v>188</v>
      </c>
      <c r="E5" s="31">
        <f t="shared" ref="E5:E9" si="0">(B5+C5)/2</f>
        <v>3.5999999999999996</v>
      </c>
      <c r="F5" s="31">
        <f t="shared" ref="F5:F9" si="1">D5/$D$10</f>
        <v>0.188</v>
      </c>
      <c r="G5" s="31">
        <f>D5+G4</f>
        <v>223</v>
      </c>
      <c r="H5" s="31">
        <f>F5+H4</f>
        <v>0.223</v>
      </c>
      <c r="I5" s="31">
        <f t="shared" ref="I5:I8" si="2">C5-B5</f>
        <v>0.39999999999999991</v>
      </c>
      <c r="J5" s="32">
        <f t="shared" ref="J5:J9" si="3">D5/I5</f>
        <v>470.00000000000011</v>
      </c>
    </row>
    <row r="6" spans="1:10" x14ac:dyDescent="0.2">
      <c r="B6" s="2">
        <v>3.8</v>
      </c>
      <c r="C6" s="1">
        <v>4.2</v>
      </c>
      <c r="D6" s="27">
        <v>426</v>
      </c>
      <c r="E6" s="31">
        <f t="shared" si="0"/>
        <v>4</v>
      </c>
      <c r="F6" s="31">
        <f t="shared" si="1"/>
        <v>0.42599999999999999</v>
      </c>
      <c r="G6" s="31">
        <f t="shared" ref="G6:G9" si="4">D6+G5</f>
        <v>649</v>
      </c>
      <c r="H6" s="31">
        <f t="shared" ref="H6:H9" si="5">F6+H5</f>
        <v>0.64900000000000002</v>
      </c>
      <c r="I6" s="31">
        <f t="shared" si="2"/>
        <v>0.40000000000000036</v>
      </c>
      <c r="J6" s="32">
        <f t="shared" si="3"/>
        <v>1064.9999999999991</v>
      </c>
    </row>
    <row r="7" spans="1:10" x14ac:dyDescent="0.2">
      <c r="B7" s="2">
        <v>4.2</v>
      </c>
      <c r="C7" s="1">
        <v>4.5999999999999996</v>
      </c>
      <c r="D7" s="27">
        <v>285</v>
      </c>
      <c r="E7" s="31">
        <f t="shared" si="0"/>
        <v>4.4000000000000004</v>
      </c>
      <c r="F7" s="31">
        <f t="shared" si="1"/>
        <v>0.28499999999999998</v>
      </c>
      <c r="G7" s="31">
        <f t="shared" si="4"/>
        <v>934</v>
      </c>
      <c r="H7" s="31">
        <f t="shared" si="5"/>
        <v>0.93399999999999994</v>
      </c>
      <c r="I7" s="31">
        <f t="shared" si="2"/>
        <v>0.39999999999999947</v>
      </c>
      <c r="J7" s="32">
        <f t="shared" si="3"/>
        <v>712.50000000000091</v>
      </c>
    </row>
    <row r="8" spans="1:10" x14ac:dyDescent="0.2">
      <c r="B8" s="2">
        <v>4.5999999999999996</v>
      </c>
      <c r="C8" s="1">
        <v>5</v>
      </c>
      <c r="D8" s="27">
        <v>55</v>
      </c>
      <c r="E8" s="31">
        <f t="shared" si="0"/>
        <v>4.8</v>
      </c>
      <c r="F8" s="31">
        <f t="shared" si="1"/>
        <v>5.5E-2</v>
      </c>
      <c r="G8" s="31">
        <f t="shared" si="4"/>
        <v>989</v>
      </c>
      <c r="H8" s="31">
        <f t="shared" si="5"/>
        <v>0.98899999999999999</v>
      </c>
      <c r="I8" s="31">
        <f t="shared" si="2"/>
        <v>0.40000000000000036</v>
      </c>
      <c r="J8" s="32">
        <f t="shared" si="3"/>
        <v>137.49999999999989</v>
      </c>
    </row>
    <row r="9" spans="1:10" ht="16" thickBot="1" x14ac:dyDescent="0.25">
      <c r="B9" s="4">
        <v>5</v>
      </c>
      <c r="C9" s="5"/>
      <c r="D9" s="28">
        <v>11</v>
      </c>
      <c r="E9" s="33">
        <f t="shared" si="0"/>
        <v>2.5</v>
      </c>
      <c r="F9" s="33">
        <f t="shared" si="1"/>
        <v>1.0999999999999999E-2</v>
      </c>
      <c r="G9" s="33">
        <f t="shared" si="4"/>
        <v>1000</v>
      </c>
      <c r="H9" s="33">
        <f t="shared" si="5"/>
        <v>1</v>
      </c>
      <c r="I9" s="33">
        <f>5.4-B9</f>
        <v>0.40000000000000036</v>
      </c>
      <c r="J9" s="34">
        <f t="shared" si="3"/>
        <v>27.499999999999975</v>
      </c>
    </row>
    <row r="10" spans="1:10" ht="16" thickBot="1" x14ac:dyDescent="0.25">
      <c r="D10" s="42">
        <f>SUM(D4:D9)</f>
        <v>1000</v>
      </c>
    </row>
    <row r="12" spans="1:10" ht="16" thickBot="1" x14ac:dyDescent="0.25"/>
    <row r="13" spans="1:10" x14ac:dyDescent="0.2">
      <c r="A13" t="s">
        <v>216</v>
      </c>
      <c r="C13" s="21" t="s">
        <v>212</v>
      </c>
      <c r="D13">
        <f>H20/D10</f>
        <v>4.0383000000000004</v>
      </c>
      <c r="H13" s="35" t="s">
        <v>247</v>
      </c>
      <c r="I13" s="36" t="s">
        <v>248</v>
      </c>
    </row>
    <row r="14" spans="1:10" x14ac:dyDescent="0.2">
      <c r="C14" s="21" t="s">
        <v>249</v>
      </c>
      <c r="D14">
        <f>SQRT(1/(D10-1)*(I20-H20^2/D10))</f>
        <v>0.39587855439494191</v>
      </c>
      <c r="H14" s="37">
        <f>E4*D4</f>
        <v>112</v>
      </c>
      <c r="I14" s="32">
        <f>E4*H14</f>
        <v>358.40000000000003</v>
      </c>
    </row>
    <row r="15" spans="1:10" x14ac:dyDescent="0.2">
      <c r="C15" s="21" t="s">
        <v>223</v>
      </c>
      <c r="D15">
        <f>D14/D13*100</f>
        <v>9.8030991851754923</v>
      </c>
      <c r="H15" s="37">
        <f t="shared" ref="H15:H18" si="6">E5*D5</f>
        <v>676.8</v>
      </c>
      <c r="I15" s="32">
        <f t="shared" ref="I15:I19" si="7">E5*H15</f>
        <v>2436.4799999999996</v>
      </c>
    </row>
    <row r="16" spans="1:10" x14ac:dyDescent="0.2">
      <c r="H16" s="37">
        <f t="shared" si="6"/>
        <v>1704</v>
      </c>
      <c r="I16" s="32">
        <f t="shared" si="7"/>
        <v>6816</v>
      </c>
    </row>
    <row r="17" spans="8:9" x14ac:dyDescent="0.2">
      <c r="H17" s="37">
        <f t="shared" si="6"/>
        <v>1254</v>
      </c>
      <c r="I17" s="32">
        <f t="shared" si="7"/>
        <v>5517.6</v>
      </c>
    </row>
    <row r="18" spans="8:9" x14ac:dyDescent="0.2">
      <c r="H18" s="37">
        <f t="shared" si="6"/>
        <v>264</v>
      </c>
      <c r="I18" s="32">
        <f t="shared" si="7"/>
        <v>1267.2</v>
      </c>
    </row>
    <row r="19" spans="8:9" ht="16" thickBot="1" x14ac:dyDescent="0.25">
      <c r="H19" s="38">
        <f>E9*D9</f>
        <v>27.5</v>
      </c>
      <c r="I19" s="39">
        <f t="shared" si="7"/>
        <v>68.75</v>
      </c>
    </row>
    <row r="20" spans="8:9" ht="16" thickBot="1" x14ac:dyDescent="0.25">
      <c r="H20" s="40">
        <f>SUM(H14:H19)</f>
        <v>4038.3</v>
      </c>
      <c r="I20" s="41">
        <f>SUM(I14:I19)</f>
        <v>16464.43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183091-B1D4-4F5B-9E79-49FC2D733EAE}">
  <dimension ref="A1:B6"/>
  <sheetViews>
    <sheetView workbookViewId="0">
      <selection activeCell="Q16" sqref="Q16"/>
    </sheetView>
  </sheetViews>
  <sheetFormatPr baseColWidth="10" defaultRowHeight="15" x14ac:dyDescent="0.2"/>
  <cols>
    <col min="1" max="1" width="20.5" customWidth="1"/>
  </cols>
  <sheetData>
    <row r="1" spans="1:2" ht="32.25" customHeight="1" thickBot="1" x14ac:dyDescent="0.25">
      <c r="A1" s="20" t="s">
        <v>204</v>
      </c>
      <c r="B1" s="12" t="s">
        <v>3</v>
      </c>
    </row>
    <row r="2" spans="1:2" ht="16" x14ac:dyDescent="0.2">
      <c r="A2" s="16" t="s">
        <v>205</v>
      </c>
      <c r="B2" s="9">
        <v>35010</v>
      </c>
    </row>
    <row r="3" spans="1:2" ht="32" x14ac:dyDescent="0.2">
      <c r="A3" s="14" t="s">
        <v>207</v>
      </c>
      <c r="B3" s="3">
        <v>92630</v>
      </c>
    </row>
    <row r="4" spans="1:2" ht="32" x14ac:dyDescent="0.2">
      <c r="A4" s="14" t="s">
        <v>206</v>
      </c>
      <c r="B4" s="3">
        <v>114324</v>
      </c>
    </row>
    <row r="5" spans="1:2" ht="32" x14ac:dyDescent="0.2">
      <c r="A5" s="14" t="s">
        <v>208</v>
      </c>
      <c r="B5" s="3">
        <v>34230</v>
      </c>
    </row>
    <row r="6" spans="1:2" ht="33" thickBot="1" x14ac:dyDescent="0.25">
      <c r="A6" s="15" t="s">
        <v>209</v>
      </c>
      <c r="B6" s="6">
        <v>65126</v>
      </c>
    </row>
  </sheetData>
  <pageMargins left="0.7" right="0.7" top="0.75" bottom="0.75" header="0.3" footer="0.3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FE42A2-46A7-49BD-8B68-617342DD80E2}">
  <dimension ref="A1:B6"/>
  <sheetViews>
    <sheetView workbookViewId="0">
      <selection activeCell="K34" sqref="K34"/>
    </sheetView>
  </sheetViews>
  <sheetFormatPr baseColWidth="10" defaultRowHeight="15" x14ac:dyDescent="0.2"/>
  <cols>
    <col min="1" max="1" width="16.5" customWidth="1"/>
    <col min="2" max="2" width="13.6640625" customWidth="1"/>
  </cols>
  <sheetData>
    <row r="1" spans="1:2" ht="33" thickBot="1" x14ac:dyDescent="0.25">
      <c r="A1" s="20" t="s">
        <v>210</v>
      </c>
      <c r="B1" s="12" t="s">
        <v>3</v>
      </c>
    </row>
    <row r="2" spans="1:2" x14ac:dyDescent="0.2">
      <c r="A2" s="17">
        <v>1</v>
      </c>
      <c r="B2" s="9">
        <v>102</v>
      </c>
    </row>
    <row r="3" spans="1:2" x14ac:dyDescent="0.2">
      <c r="A3" s="18">
        <v>2</v>
      </c>
      <c r="B3" s="3">
        <v>185</v>
      </c>
    </row>
    <row r="4" spans="1:2" x14ac:dyDescent="0.2">
      <c r="A4" s="18">
        <v>3</v>
      </c>
      <c r="B4" s="3">
        <v>214</v>
      </c>
    </row>
    <row r="5" spans="1:2" x14ac:dyDescent="0.2">
      <c r="A5" s="18">
        <v>4</v>
      </c>
      <c r="B5" s="3">
        <v>652</v>
      </c>
    </row>
    <row r="6" spans="1:2" ht="16" thickBot="1" x14ac:dyDescent="0.25">
      <c r="A6" s="19">
        <v>5</v>
      </c>
      <c r="B6" s="6">
        <v>137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Medidas central y dispersión</vt:lpstr>
      <vt:lpstr>Medidas de dispersión tabla</vt:lpstr>
      <vt:lpstr>Gráfico de sectores</vt:lpstr>
      <vt:lpstr>Gráfica Barras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MALF</cp:lastModifiedBy>
  <dcterms:created xsi:type="dcterms:W3CDTF">2022-10-04T09:27:39Z</dcterms:created>
  <dcterms:modified xsi:type="dcterms:W3CDTF">2023-08-05T17:11:31Z</dcterms:modified>
</cp:coreProperties>
</file>