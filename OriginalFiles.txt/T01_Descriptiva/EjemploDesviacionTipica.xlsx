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F/Dropbox/UGR/TEACHING/Fisioterapia/Fisioterapia2324/TemasTeoria/T01_Descriptiva/"/>
    </mc:Choice>
  </mc:AlternateContent>
  <xr:revisionPtr revIDLastSave="0" documentId="13_ncr:1_{8203368D-4D6C-FF4B-B244-FAD5009C0D34}" xr6:coauthVersionLast="47" xr6:coauthVersionMax="47" xr10:uidLastSave="{00000000-0000-0000-0000-000000000000}"/>
  <bookViews>
    <workbookView xWindow="0" yWindow="600" windowWidth="22940" windowHeight="1258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5" i="1" s="1"/>
  <c r="N11" i="1"/>
  <c r="N9" i="1"/>
  <c r="N3" i="1"/>
  <c r="F22" i="1"/>
  <c r="N4" i="1"/>
  <c r="J3" i="1"/>
  <c r="E21" i="1"/>
  <c r="E20" i="1"/>
  <c r="E18" i="1"/>
  <c r="E19" i="1"/>
  <c r="I14" i="1"/>
  <c r="I11" i="1"/>
  <c r="I12" i="1"/>
  <c r="I13" i="1"/>
  <c r="I10" i="1"/>
  <c r="H14" i="1"/>
  <c r="H11" i="1"/>
  <c r="H12" i="1"/>
  <c r="H13" i="1"/>
  <c r="H10" i="1"/>
  <c r="N5" i="1"/>
  <c r="N6" i="1"/>
  <c r="M5" i="1"/>
  <c r="M4" i="1"/>
  <c r="M3" i="1"/>
  <c r="L5" i="1"/>
  <c r="L6" i="1" s="1"/>
  <c r="L4" i="1"/>
  <c r="L3" i="1"/>
  <c r="K5" i="1"/>
  <c r="K6" i="1"/>
  <c r="K4" i="1"/>
  <c r="K3" i="1"/>
  <c r="J4" i="1"/>
  <c r="J5" i="1"/>
  <c r="J6" i="1"/>
  <c r="H6" i="1"/>
  <c r="H5" i="1"/>
  <c r="H4" i="1"/>
  <c r="H3" i="1"/>
  <c r="I3" i="1"/>
  <c r="I4" i="1"/>
  <c r="I5" i="1"/>
  <c r="I6" i="1"/>
  <c r="I7" i="1" l="1"/>
</calcChain>
</file>

<file path=xl/sharedStrings.xml><?xml version="1.0" encoding="utf-8"?>
<sst xmlns="http://schemas.openxmlformats.org/spreadsheetml/2006/main" count="49" uniqueCount="46">
  <si>
    <t>Edad</t>
  </si>
  <si>
    <t>Mejor rendimiento</t>
  </si>
  <si>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</si>
  <si>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</si>
  <si>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</si>
  <si>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</si>
  <si>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</si>
  <si>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</si>
  <si>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</si>
  <si>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</si>
  <si>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</si>
  <si>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</si>
  <si>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</si>
  <si>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</si>
  <si>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</si>
  <si>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</si>
  <si>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fi</t>
  </si>
  <si>
    <t>xi</t>
  </si>
  <si>
    <t>xi*fi</t>
  </si>
  <si>
    <t>hi</t>
  </si>
  <si>
    <t>Fi</t>
  </si>
  <si>
    <t>Hi</t>
  </si>
  <si>
    <t>ai</t>
  </si>
  <si>
    <t>di</t>
  </si>
  <si>
    <t>Varianza</t>
  </si>
  <si>
    <t>xi^2*fi</t>
  </si>
  <si>
    <t>Desv.tip</t>
  </si>
  <si>
    <t>CV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</si>
  <si>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</si>
  <si>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</si>
  <si>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</si>
  <si>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</si>
  <si>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</si>
  <si>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</si>
  <si>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</si>
  <si>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</si>
  <si>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</si>
  <si>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</si>
  <si>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</si>
  <si>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</si>
  <si>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</si>
  <si>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Freq abs</t>
  </si>
  <si>
    <t>Freq rel</t>
  </si>
  <si>
    <t>Freq acum</t>
  </si>
  <si>
    <t>Freq rel acum</t>
  </si>
  <si>
    <t>Ampli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</si>
</sst>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2" fillId="0" borderId="10" xfId="0" applyFont="1" applyBorder="1" applyAlignment="1">
      <alignment horizontal="centerContinuous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6" xfId="0" applyBorder="1"/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2" borderId="15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10" fontId="0" fillId="0" borderId="0" xfId="0" applyNumberFormat="1"/>
    <xf numFmtId="0" fontId="1" fillId="2" borderId="7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692038495188109E-2"/>
          <c:y val="7.407407407407407E-2"/>
          <c:w val="0.9028635170603674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Hoja1!$B$3:$C$3</c:f>
              <c:numCache>
                <c:formatCode>General</c:formatCode>
                <c:ptCount val="2"/>
                <c:pt idx="0">
                  <c:v>22</c:v>
                </c:pt>
                <c:pt idx="1">
                  <c:v>12.87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A-034A-8D79-E4B14B1AE8C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Hoja1!$B$4:$C$4</c:f>
              <c:numCache>
                <c:formatCode>General</c:formatCode>
                <c:ptCount val="2"/>
                <c:pt idx="0">
                  <c:v>24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A-034A-8D79-E4B14B1AE8C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Hoja1!$B$5:$C$5</c:f>
              <c:numCache>
                <c:formatCode>General</c:formatCode>
                <c:ptCount val="2"/>
                <c:pt idx="0">
                  <c:v>29</c:v>
                </c:pt>
                <c:pt idx="1">
                  <c:v>13.18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1A-034A-8D79-E4B14B1AE8C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Hoja1!$B$6:$C$6</c:f>
              <c:numCache>
                <c:formatCode>General</c:formatCode>
                <c:ptCount val="2"/>
                <c:pt idx="0">
                  <c:v>23</c:v>
                </c:pt>
                <c:pt idx="1">
                  <c:v>13.21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1A-034A-8D79-E4B14B1AE8C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Hoja1!$B$7:$C$7</c:f>
              <c:numCache>
                <c:formatCode>General</c:formatCode>
                <c:ptCount val="2"/>
                <c:pt idx="0">
                  <c:v>30</c:v>
                </c:pt>
                <c:pt idx="1">
                  <c:v>13.23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1A-034A-8D79-E4B14B1AE8C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Hoja1!$B$8:$C$8</c:f>
              <c:numCache>
                <c:formatCode>General</c:formatCode>
                <c:ptCount val="2"/>
                <c:pt idx="0">
                  <c:v>22</c:v>
                </c:pt>
                <c:pt idx="1">
                  <c:v>13.26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1A-034A-8D79-E4B14B1AE8C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Hoja1!$B$9:$C$9</c:f>
              <c:numCache>
                <c:formatCode>General</c:formatCode>
                <c:ptCount val="2"/>
                <c:pt idx="0">
                  <c:v>20</c:v>
                </c:pt>
                <c:pt idx="1">
                  <c:v>13.26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1A-034A-8D79-E4B14B1AE8C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Hoja1!$B$10:$C$10</c:f>
              <c:numCache>
                <c:formatCode>General</c:formatCode>
                <c:ptCount val="2"/>
                <c:pt idx="0">
                  <c:v>20</c:v>
                </c:pt>
                <c:pt idx="1">
                  <c:v>13.29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1A-034A-8D79-E4B14B1AE8C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Hoja1!$B$11:$C$11</c:f>
              <c:numCache>
                <c:formatCode>General</c:formatCode>
                <c:ptCount val="2"/>
                <c:pt idx="0">
                  <c:v>22</c:v>
                </c:pt>
                <c:pt idx="1">
                  <c:v>13.46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1A-034A-8D79-E4B14B1AE8C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Hoja1!$B$12:$C$12</c:f>
              <c:numCache>
                <c:formatCode>General</c:formatCode>
                <c:ptCount val="2"/>
                <c:pt idx="0">
                  <c:v>22</c:v>
                </c:pt>
                <c:pt idx="1">
                  <c:v>13.51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1A-034A-8D79-E4B14B1AE8C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Hoja1!$B$13:$C$13</c:f>
              <c:numCache>
                <c:formatCode>General</c:formatCode>
                <c:ptCount val="2"/>
                <c:pt idx="0">
                  <c:v>21</c:v>
                </c:pt>
                <c:pt idx="1">
                  <c:v>13.62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1A-034A-8D79-E4B14B1AE8C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Hoja1!$B$14:$C$14</c:f>
              <c:numCache>
                <c:formatCode>General</c:formatCode>
                <c:ptCount val="2"/>
                <c:pt idx="0">
                  <c:v>21</c:v>
                </c:pt>
                <c:pt idx="1">
                  <c:v>13.63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1A-034A-8D79-E4B14B1AE8C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Hoja1!$B$15:$C$15</c:f>
              <c:numCache>
                <c:formatCode>General</c:formatCode>
                <c:ptCount val="2"/>
                <c:pt idx="0">
                  <c:v>22</c:v>
                </c:pt>
                <c:pt idx="1">
                  <c:v>13.69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1A-034A-8D79-E4B14B1AE8C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Hoja1!$B$16:$C$16</c:f>
              <c:numCache>
                <c:formatCode>General</c:formatCode>
                <c:ptCount val="2"/>
                <c:pt idx="0">
                  <c:v>23</c:v>
                </c:pt>
                <c:pt idx="1">
                  <c:v>13.7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1A-034A-8D79-E4B14B1AE8C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Hoja1!$B$17:$C$17</c:f>
              <c:numCache>
                <c:formatCode>General</c:formatCode>
                <c:ptCount val="2"/>
                <c:pt idx="0">
                  <c:v>26</c:v>
                </c:pt>
                <c:pt idx="1">
                  <c:v>13.7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1A-034A-8D79-E4B14B1AE8C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Hoja1!$B$18:$C$18</c:f>
              <c:numCache>
                <c:formatCode>General</c:formatCode>
                <c:ptCount val="2"/>
                <c:pt idx="0">
                  <c:v>23</c:v>
                </c:pt>
                <c:pt idx="1">
                  <c:v>13.75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E1A-034A-8D79-E4B14B1AE8C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Hoja1!$B$19:$C$19</c:f>
              <c:numCache>
                <c:formatCode>General</c:formatCode>
                <c:ptCount val="2"/>
                <c:pt idx="0">
                  <c:v>25</c:v>
                </c:pt>
                <c:pt idx="1">
                  <c:v>13.75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1A-034A-8D79-E4B14B1AE8C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Hoja1!$B$20:$C$20</c:f>
              <c:numCache>
                <c:formatCode>General</c:formatCode>
                <c:ptCount val="2"/>
                <c:pt idx="0">
                  <c:v>20</c:v>
                </c:pt>
                <c:pt idx="1">
                  <c:v>13.76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1A-034A-8D79-E4B14B1AE8C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Hoja1!$B$21:$C$21</c:f>
              <c:numCache>
                <c:formatCode>General</c:formatCode>
                <c:ptCount val="2"/>
                <c:pt idx="0">
                  <c:v>26</c:v>
                </c:pt>
                <c:pt idx="1">
                  <c:v>13.78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E1A-034A-8D79-E4B14B1AE8C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Hoja1!$B$2:$C$2</c:f>
              <c:strCache>
                <c:ptCount val="2"/>
                <c:pt idx="0">
                  <c:v>Edad</c:v>
                </c:pt>
                <c:pt idx="1">
                  <c:v>Mejor rendimiento</c:v>
                </c:pt>
              </c:strCache>
            </c:strRef>
          </c:cat>
          <c:val>
            <c:numRef>
              <c:f>Hoja1!$B$22:$C$22</c:f>
              <c:numCache>
                <c:formatCode>General</c:formatCode>
                <c:ptCount val="2"/>
                <c:pt idx="0">
                  <c:v>20</c:v>
                </c:pt>
                <c:pt idx="1">
                  <c:v>13.81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E1A-034A-8D79-E4B14B1AE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9"/>
        <c:overlap val="19"/>
        <c:axId val="952957487"/>
        <c:axId val="952174319"/>
      </c:barChart>
      <c:catAx>
        <c:axId val="95295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74319"/>
        <c:crosses val="autoZero"/>
        <c:auto val="1"/>
        <c:lblAlgn val="ctr"/>
        <c:lblOffset val="100"/>
        <c:noMultiLvlLbl val="0"/>
      </c:catAx>
      <c:valAx>
        <c:axId val="95217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5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673100</xdr:colOff>
      <xdr:row>24</xdr:row>
      <xdr:rowOff>127000</xdr:rowOff>
    </xdr:from>
    <xdr:to>
      <xdr:col>8</xdr:col>
      <xdr:colOff>457200</xdr:colOff>
      <xdr:row>39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1E26D-4A05-504A-E5F8-CF53E9536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0</xdr:rowOff>
    </xdr:from>
    <xdr:to>
      <xdr:col>15</xdr:col>
      <xdr:colOff>596900</xdr:colOff>
      <xdr:row>24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B96E84-3096-E3B4-439A-24A07E878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000" y="3517900"/>
          <a:ext cx="6553200" cy="130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2"/>
  <sheetViews>
    <sheetView tabSelected="1" topLeftCell="B1" workbookViewId="0">
      <selection activeCell="N9" sqref="N9"/>
    </sheetView>
  </sheetViews>
  <sheetFormatPr baseColWidth="10" defaultRowHeight="15" x14ac:dyDescent="0.2"/>
  <cols>
    <col min="3" max="3" width="18.83203125" customWidth="1"/>
    <col min="5" max="5" width="14.33203125" customWidth="1"/>
    <col min="6" max="6" width="6.33203125" customWidth="1"/>
    <col min="7" max="7" width="18.1640625" customWidth="1"/>
    <col min="8" max="8" width="13.1640625" customWidth="1"/>
    <col min="13" max="13" width="12.5" customWidth="1"/>
    <col min="14" max="14" width="11.5" customWidth="1"/>
  </cols>
  <sheetData>
    <row r="1" spans="2:14" ht="16" thickBot="1" x14ac:dyDescent="0.25"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2:14" ht="16" thickBot="1" x14ac:dyDescent="0.25">
      <c r="B2" s="25" t="s">
        <v>0</v>
      </c>
      <c r="C2" s="26" t="s">
        <v>1</v>
      </c>
      <c r="E2" s="5" t="s">
        <v>1</v>
      </c>
      <c r="F2" s="5"/>
      <c r="H2" s="10" t="s">
        <v>17</v>
      </c>
      <c r="I2" s="9" t="s">
        <v>16</v>
      </c>
      <c r="J2" s="16" t="s">
        <v>19</v>
      </c>
      <c r="K2" s="16" t="s">
        <v>20</v>
      </c>
      <c r="L2" s="16" t="s">
        <v>21</v>
      </c>
      <c r="M2" s="16" t="s">
        <v>22</v>
      </c>
      <c r="N2" s="10" t="s">
        <v>23</v>
      </c>
    </row>
    <row r="3" spans="2:14" x14ac:dyDescent="0.2">
      <c r="B3" s="27">
        <v>22</v>
      </c>
      <c r="C3" s="28">
        <v>12.87</v>
      </c>
      <c r="G3" s="24"/>
      <c r="H3" s="3">
        <f>(12.8+13.1)/2</f>
        <v>12.95</v>
      </c>
      <c r="I3" s="8">
        <f>COUNTIF(C3:C22,"&lt;13,1")</f>
        <v>2</v>
      </c>
      <c r="J3" s="11">
        <f>I3/$I$7</f>
        <v>0.1</v>
      </c>
      <c r="K3" s="11">
        <f>2</f>
        <v>2</v>
      </c>
      <c r="L3" s="11">
        <f>J3</f>
        <v>0.1</v>
      </c>
      <c r="M3" s="11">
        <f>13.1-12.8</f>
        <v>0.29999999999999893</v>
      </c>
      <c r="N3" s="3">
        <f>ROUND(I3/M3,2)</f>
        <v>6.67</v>
      </c>
    </row>
    <row r="4" spans="2:14" x14ac:dyDescent="0.2">
      <c r="B4" s="29">
        <v>24</v>
      </c>
      <c r="C4" s="30">
        <v>13</v>
      </c>
      <c r="E4" t="s">
        <v>28</v>
      </c>
      <c r="F4">
        <v>13.472999999999999</v>
      </c>
      <c r="G4" s="24"/>
      <c r="H4" s="1">
        <f>(13.1+13.4)/2</f>
        <v>13.25</v>
      </c>
      <c r="I4" s="6">
        <f>COUNTIFS($C$3:$C$22,"&gt;=13,1",$C$3:$C$22,"&lt;13,4")</f>
        <v>6</v>
      </c>
      <c r="J4" s="11">
        <f t="shared" ref="J4:J6" si="0">I4/$I$7</f>
        <v>0.3</v>
      </c>
      <c r="K4" s="12">
        <f>K3+I4</f>
        <v>8</v>
      </c>
      <c r="L4" s="12">
        <f>L3+J4</f>
        <v>0.4</v>
      </c>
      <c r="M4" s="12">
        <f>13.4-13.1</f>
        <v>0.30000000000000071</v>
      </c>
      <c r="N4" s="3">
        <f>ROUND(I4/M4,2)</f>
        <v>20</v>
      </c>
    </row>
    <row r="5" spans="2:14" x14ac:dyDescent="0.2">
      <c r="B5" s="29">
        <v>29</v>
      </c>
      <c r="C5" s="30">
        <v>13.18</v>
      </c>
      <c r="E5" t="s">
        <v>29</v>
      </c>
      <c r="F5">
        <v>6.4220426329126293E-2</v>
      </c>
      <c r="G5" s="24"/>
      <c r="H5" s="1">
        <f>(13.4+13.7)/2</f>
        <v>13.55</v>
      </c>
      <c r="I5" s="6">
        <f>COUNTIFS($C$3:$C$22,"&gt;=13,4",$C$3:$C$22,"&lt;13,7")</f>
        <v>5</v>
      </c>
      <c r="J5" s="11">
        <f t="shared" si="0"/>
        <v>0.25</v>
      </c>
      <c r="K5" s="12">
        <f t="shared" ref="K5:K6" si="1">K4+I5</f>
        <v>13</v>
      </c>
      <c r="L5" s="12">
        <f t="shared" ref="L5:L6" si="2">L4+J5</f>
        <v>0.65</v>
      </c>
      <c r="M5" s="12">
        <f>13.7-13.4</f>
        <v>0.29999999999999893</v>
      </c>
      <c r="N5" s="3">
        <f t="shared" ref="N5:N6" si="3">ROUND(I5/M5,2)</f>
        <v>16.670000000000002</v>
      </c>
    </row>
    <row r="6" spans="2:14" ht="16" thickBot="1" x14ac:dyDescent="0.25">
      <c r="B6" s="29">
        <v>23</v>
      </c>
      <c r="C6" s="30">
        <v>13.21</v>
      </c>
      <c r="E6" t="s">
        <v>30</v>
      </c>
      <c r="F6">
        <v>13.565</v>
      </c>
      <c r="G6" s="24"/>
      <c r="H6" s="2">
        <f>(13.7+14.1)/2</f>
        <v>13.899999999999999</v>
      </c>
      <c r="I6" s="7">
        <f>COUNTIF(C3:C22,"&gt;=13,7")</f>
        <v>7</v>
      </c>
      <c r="J6" s="13">
        <f t="shared" si="0"/>
        <v>0.35</v>
      </c>
      <c r="K6" s="7">
        <f t="shared" si="1"/>
        <v>20</v>
      </c>
      <c r="L6" s="7">
        <f t="shared" si="2"/>
        <v>1</v>
      </c>
      <c r="M6" s="13">
        <v>0.3</v>
      </c>
      <c r="N6" s="2">
        <f t="shared" si="3"/>
        <v>23.33</v>
      </c>
    </row>
    <row r="7" spans="2:14" x14ac:dyDescent="0.2">
      <c r="B7" s="29">
        <v>30</v>
      </c>
      <c r="C7" s="30">
        <v>13.23</v>
      </c>
      <c r="E7" t="s">
        <v>31</v>
      </c>
      <c r="F7">
        <v>13.26</v>
      </c>
      <c r="G7" s="24"/>
      <c r="I7">
        <f>SUM(I3:I6)</f>
        <v>20</v>
      </c>
    </row>
    <row r="8" spans="2:14" ht="16" thickBot="1" x14ac:dyDescent="0.25">
      <c r="B8" s="29">
        <v>22</v>
      </c>
      <c r="C8" s="30">
        <v>13.26</v>
      </c>
      <c r="E8" t="s">
        <v>32</v>
      </c>
      <c r="F8">
        <v>0.28720247763188733</v>
      </c>
    </row>
    <row r="9" spans="2:14" ht="16" thickBot="1" x14ac:dyDescent="0.25">
      <c r="B9" s="29">
        <v>20</v>
      </c>
      <c r="C9" s="30">
        <v>13.26</v>
      </c>
      <c r="E9" t="s">
        <v>33</v>
      </c>
      <c r="F9">
        <v>8.2485263157894728E-2</v>
      </c>
      <c r="H9" s="17" t="s">
        <v>18</v>
      </c>
      <c r="I9" s="21" t="s">
        <v>25</v>
      </c>
      <c r="M9" t="s">
        <v>3</v>
      </c>
      <c r="N9">
        <f>ROUND(H14/I7,2)</f>
        <v>13.52</v>
      </c>
    </row>
    <row r="10" spans="2:14" x14ac:dyDescent="0.2">
      <c r="B10" s="29">
        <v>20</v>
      </c>
      <c r="C10" s="30">
        <v>13.29</v>
      </c>
      <c r="E10" t="s">
        <v>34</v>
      </c>
      <c r="F10">
        <v>-0.86265508097018362</v>
      </c>
      <c r="H10" s="18">
        <f>H3*I3</f>
        <v>25.9</v>
      </c>
      <c r="I10" s="14">
        <f>H3*H10</f>
        <v>335.40499999999997</v>
      </c>
    </row>
    <row r="11" spans="2:14" x14ac:dyDescent="0.2">
      <c r="B11" s="29">
        <v>22</v>
      </c>
      <c r="C11" s="30">
        <v>13.46</v>
      </c>
      <c r="E11" t="s">
        <v>35</v>
      </c>
      <c r="F11">
        <v>-0.5780507907794239</v>
      </c>
      <c r="H11" s="19">
        <f t="shared" ref="H11:H13" si="4">H4*I4</f>
        <v>79.5</v>
      </c>
      <c r="I11" s="22">
        <f t="shared" ref="I11:I13" si="5">H4*H11</f>
        <v>1053.375</v>
      </c>
      <c r="M11" t="s">
        <v>24</v>
      </c>
      <c r="N11">
        <f>ROUND(1/(I7-1)*(I14-H14^2/I7),2)</f>
        <v>0.11</v>
      </c>
    </row>
    <row r="12" spans="2:14" x14ac:dyDescent="0.2">
      <c r="B12" s="29">
        <v>22</v>
      </c>
      <c r="C12" s="30">
        <v>13.51</v>
      </c>
      <c r="E12" t="s">
        <v>36</v>
      </c>
      <c r="F12">
        <v>0.94000000000000128</v>
      </c>
      <c r="H12" s="19">
        <f t="shared" si="4"/>
        <v>67.75</v>
      </c>
      <c r="I12" s="22">
        <f t="shared" si="5"/>
        <v>918.01250000000005</v>
      </c>
    </row>
    <row r="13" spans="2:14" ht="16" thickBot="1" x14ac:dyDescent="0.25">
      <c r="B13" s="29">
        <v>21</v>
      </c>
      <c r="C13" s="30">
        <v>13.62</v>
      </c>
      <c r="E13" t="s">
        <v>37</v>
      </c>
      <c r="F13">
        <v>12.87</v>
      </c>
      <c r="H13" s="20">
        <f t="shared" si="4"/>
        <v>97.299999999999983</v>
      </c>
      <c r="I13" s="23">
        <f t="shared" si="5"/>
        <v>1352.4699999999996</v>
      </c>
      <c r="M13" t="s">
        <v>26</v>
      </c>
      <c r="N13">
        <f>ROUND(SQRT(N11),2)</f>
        <v>0.33</v>
      </c>
    </row>
    <row r="14" spans="2:14" x14ac:dyDescent="0.2">
      <c r="B14" s="29">
        <v>21</v>
      </c>
      <c r="C14" s="30">
        <v>13.63</v>
      </c>
      <c r="E14" t="s">
        <v>38</v>
      </c>
      <c r="F14">
        <v>13.81</v>
      </c>
      <c r="H14" s="15">
        <f>SUM(H10:H13)</f>
        <v>270.45</v>
      </c>
      <c r="I14" s="15">
        <f>SUM(I10:I13)</f>
        <v>3659.2624999999998</v>
      </c>
    </row>
    <row r="15" spans="2:14" x14ac:dyDescent="0.2">
      <c r="B15" s="29">
        <v>22</v>
      </c>
      <c r="C15" s="30">
        <v>13.69</v>
      </c>
      <c r="E15" t="s">
        <v>39</v>
      </c>
      <c r="F15">
        <v>269.45999999999998</v>
      </c>
      <c r="M15" t="s">
        <v>27</v>
      </c>
      <c r="N15" s="33">
        <f>N13/N9*100</f>
        <v>2.440828402366864</v>
      </c>
    </row>
    <row r="16" spans="2:14" ht="16" thickBot="1" x14ac:dyDescent="0.25">
      <c r="B16" s="29">
        <v>23</v>
      </c>
      <c r="C16" s="30">
        <v>13.7</v>
      </c>
      <c r="E16" s="4" t="s">
        <v>40</v>
      </c>
      <c r="F16" s="4">
        <v>20</v>
      </c>
    </row>
    <row r="17" spans="2:6" x14ac:dyDescent="0.2">
      <c r="B17" s="29">
        <v>26</v>
      </c>
      <c r="C17" s="30">
        <v>13.7</v>
      </c>
    </row>
    <row r="18" spans="2:6" x14ac:dyDescent="0.2">
      <c r="B18" s="29">
        <v>23</v>
      </c>
      <c r="C18" s="30">
        <v>13.75</v>
      </c>
      <c r="E18">
        <f>_xlfn.QUARTILE.INC(C3:C22,2)</f>
        <v>13.565</v>
      </c>
    </row>
    <row r="19" spans="2:6" x14ac:dyDescent="0.2">
      <c r="B19" s="29">
        <v>25</v>
      </c>
      <c r="C19" s="30">
        <v>13.75</v>
      </c>
      <c r="E19">
        <f>_xlfn.QUARTILE.INC(C4:C23,1)</f>
        <v>13.26</v>
      </c>
    </row>
    <row r="20" spans="2:6" x14ac:dyDescent="0.2">
      <c r="B20" s="29">
        <v>20</v>
      </c>
      <c r="C20" s="30">
        <v>13.76</v>
      </c>
      <c r="E20">
        <f>(_xlfn.STDEV.S(C3:C22))</f>
        <v>0.28720247763188733</v>
      </c>
    </row>
    <row r="21" spans="2:6" x14ac:dyDescent="0.2">
      <c r="B21" s="29">
        <v>26</v>
      </c>
      <c r="C21" s="30">
        <v>13.78</v>
      </c>
      <c r="E21">
        <f>AVERAGE(C3:C22)</f>
        <v>13.472999999999999</v>
      </c>
    </row>
    <row r="22" spans="2:6" ht="16" thickBot="1" x14ac:dyDescent="0.25">
      <c r="B22" s="31">
        <v>20</v>
      </c>
      <c r="C22" s="32">
        <v>13.81</v>
      </c>
      <c r="E22" t="s">
        <v>27</v>
      </c>
      <c r="F22">
        <f>E20/E21*100</f>
        <v>2.1316891385132291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D04F-36F9-474C-AEC0-F8E5D9F1E2CE}">
  <dimension ref="A1:I15"/>
  <sheetViews>
    <sheetView workbookViewId="0">
      <selection activeCell="D17" sqref="D17"/>
    </sheetView>
  </sheetViews>
  <sheetFormatPr baseColWidth="10" defaultRowHeight="15" x14ac:dyDescent="0.2"/>
  <cols>
    <col min="1" max="1" width="21.83203125" customWidth="1"/>
  </cols>
  <sheetData>
    <row r="1" spans="1:9" x14ac:dyDescent="0.2">
      <c r="A1" s="5" t="s">
        <v>2</v>
      </c>
      <c r="B1" s="5"/>
    </row>
    <row r="3" spans="1:9" x14ac:dyDescent="0.2">
      <c r="A3" t="s">
        <v>3</v>
      </c>
      <c r="B3">
        <v>13.472999999999999</v>
      </c>
    </row>
    <row r="4" spans="1:9" x14ac:dyDescent="0.2">
      <c r="A4" t="s">
        <v>4</v>
      </c>
      <c r="B4">
        <v>6.4220426329126293E-2</v>
      </c>
    </row>
    <row r="5" spans="1:9" x14ac:dyDescent="0.2">
      <c r="A5" t="s">
        <v>5</v>
      </c>
      <c r="B5">
        <v>13.565</v>
      </c>
    </row>
    <row r="6" spans="1:9" x14ac:dyDescent="0.2">
      <c r="A6" t="s">
        <v>6</v>
      </c>
      <c r="B6">
        <v>13.26</v>
      </c>
    </row>
    <row r="7" spans="1:9" x14ac:dyDescent="0.2">
      <c r="A7" t="s">
        <v>7</v>
      </c>
      <c r="B7">
        <v>0.28720247763188733</v>
      </c>
    </row>
    <row r="8" spans="1:9" x14ac:dyDescent="0.2">
      <c r="A8" t="s">
        <v>8</v>
      </c>
      <c r="B8">
        <v>8.2485263157894728E-2</v>
      </c>
    </row>
    <row r="9" spans="1:9" x14ac:dyDescent="0.2">
      <c r="A9" t="s">
        <v>9</v>
      </c>
      <c r="B9">
        <v>-0.86265508097018362</v>
      </c>
      <c r="H9" s="34"/>
      <c r="I9" s="34"/>
    </row>
    <row r="10" spans="1:9" x14ac:dyDescent="0.2">
      <c r="A10" t="s">
        <v>10</v>
      </c>
      <c r="B10">
        <v>-0.5780507907794239</v>
      </c>
    </row>
    <row r="11" spans="1:9" x14ac:dyDescent="0.2">
      <c r="A11" t="s">
        <v>11</v>
      </c>
      <c r="B11">
        <v>0.94000000000000128</v>
      </c>
    </row>
    <row r="12" spans="1:9" x14ac:dyDescent="0.2">
      <c r="A12" t="s">
        <v>12</v>
      </c>
      <c r="B12">
        <v>12.87</v>
      </c>
    </row>
    <row r="13" spans="1:9" x14ac:dyDescent="0.2">
      <c r="A13" t="s">
        <v>13</v>
      </c>
      <c r="B13">
        <v>13.81</v>
      </c>
    </row>
    <row r="14" spans="1:9" x14ac:dyDescent="0.2">
      <c r="A14" t="s">
        <v>14</v>
      </c>
      <c r="B14">
        <v>269.45999999999998</v>
      </c>
    </row>
    <row r="15" spans="1:9" ht="16" thickBot="1" x14ac:dyDescent="0.25">
      <c r="A15" s="4" t="s">
        <v>15</v>
      </c>
      <c r="B15" s="4">
        <v>20</v>
      </c>
    </row>
  </sheetData>
  <mergeCells count="1">
    <mergeCell ref="H9:I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MALF</cp:lastModifiedBy>
  <dcterms:created xsi:type="dcterms:W3CDTF">2022-09-21T11:28:00Z</dcterms:created>
  <dcterms:modified xsi:type="dcterms:W3CDTF">2023-08-05T17:04:06Z</dcterms:modified>
</cp:coreProperties>
</file>